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3.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4.xml" ContentType="application/vnd.openxmlformats-officedocument.drawing+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omments3.xml" ContentType="application/vnd.openxmlformats-officedocument.spreadsheetml.comments+xml"/>
  <Override PartName="/xl/threadedComments/threadedComment3.xml" ContentType="application/vnd.ms-excel.threadedcomments+xml"/>
  <Override PartName="/xl/drawings/drawing5.xml" ContentType="application/vnd.openxmlformats-officedocument.drawing+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drawings/drawing6.xml" ContentType="application/vnd.openxmlformats-officedocument.drawing+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omments4.xml" ContentType="application/vnd.openxmlformats-officedocument.spreadsheetml.comments+xml"/>
  <Override PartName="/xl/threadedComments/threadedComment4.xml" ContentType="application/vnd.ms-excel.threadedcomments+xml"/>
  <Override PartName="/xl/drawings/drawing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Mijn documenten\BOMOS 2025\BOMOS sheet voor standaarden\"/>
    </mc:Choice>
  </mc:AlternateContent>
  <xr:revisionPtr revIDLastSave="0" documentId="13_ncr:1_{C1E61F45-799A-4B07-B024-77F2B3ED0C38}" xr6:coauthVersionLast="47" xr6:coauthVersionMax="47" xr10:uidLastSave="{00000000-0000-0000-0000-000000000000}"/>
  <workbookProtection workbookAlgorithmName="SHA-512" workbookHashValue="2Fk4+2VwiAbVafO5zn+3VWKiSRtU2W6AOXKyYGRtkPIpxxLonZp8fYlHw0LkkZsJ7hYdEIE76FoYHf6G5YXaLg==" workbookSaltValue="dNTrIHxqbAih8EB/VxKkyw==" workbookSpinCount="100000" lockStructure="1"/>
  <bookViews>
    <workbookView xWindow="28680" yWindow="-120" windowWidth="29040" windowHeight="15720" tabRatio="759" activeTab="1" xr2:uid="{00000000-000D-0000-FFFF-FFFF00000000}"/>
  </bookViews>
  <sheets>
    <sheet name="Toelichting" sheetId="9" r:id="rId1"/>
    <sheet name="Strategie" sheetId="1" r:id="rId2"/>
    <sheet name="Tactiek" sheetId="6" r:id="rId3"/>
    <sheet name="Operationeel" sheetId="7" r:id="rId4"/>
    <sheet name="Implementatie Ondersteuning" sheetId="4" r:id="rId5"/>
    <sheet name="Communicatie" sheetId="8" r:id="rId6"/>
    <sheet name="Open" sheetId="10" state="hidden" r:id="rId7"/>
    <sheet name="Resultaten" sheetId="13" r:id="rId8"/>
    <sheet name="_invoervelden" sheetId="11" state="hidden" r:id="rId9"/>
    <sheet name="_output" sheetId="12" state="hidden" r:id="rId10"/>
  </sheets>
  <definedNames>
    <definedName name="_xlnm._FilterDatabase" localSheetId="5" hidden="1">Communicatie!$A$1:$G$14</definedName>
    <definedName name="_xlnm._FilterDatabase" localSheetId="4" hidden="1">'Implementatie Ondersteuning'!$A$1:$G$17</definedName>
    <definedName name="_xlnm._FilterDatabase" localSheetId="3" hidden="1">Operationeel!$A$1:$G$17</definedName>
    <definedName name="_xlnm._FilterDatabase" localSheetId="1" hidden="1">Strategie!$A$1:$G$27</definedName>
    <definedName name="_xlnm._FilterDatabase" localSheetId="2" hidden="1">Tactiek!$A$1:$G$20</definedName>
    <definedName name="_xlnm.Print_Area" localSheetId="7">Resultaten!$A$1:$G$8</definedName>
    <definedName name="Goal_State" localSheetId="7">Resultaten!#REF!</definedName>
    <definedName name="GoalState">Resultaten!#REF!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13" l="1"/>
  <c r="C66" i="12"/>
  <c r="C67" i="12"/>
  <c r="C68" i="12"/>
  <c r="C65" i="12"/>
  <c r="C60" i="12"/>
  <c r="A64" i="12"/>
  <c r="A44" i="12"/>
  <c r="C17" i="12"/>
  <c r="C15" i="12"/>
  <c r="C16" i="12"/>
  <c r="C14" i="12"/>
  <c r="C21" i="12"/>
  <c r="C22" i="12"/>
  <c r="C4" i="12"/>
  <c r="C5" i="12"/>
  <c r="C6" i="12"/>
  <c r="C7" i="12"/>
  <c r="C8" i="12"/>
  <c r="C9" i="12"/>
  <c r="C10" i="12"/>
  <c r="C11" i="12"/>
  <c r="C3" i="12"/>
  <c r="D4" i="13"/>
  <c r="C64" i="12" l="1"/>
  <c r="C4" i="13"/>
  <c r="C2" i="12"/>
  <c r="D5" i="13"/>
  <c r="D18" i="13" l="1"/>
  <c r="B11" i="13" l="1"/>
  <c r="D35" i="13" l="1"/>
  <c r="D34" i="13"/>
  <c r="D33" i="13"/>
  <c r="B35" i="13"/>
  <c r="B34" i="13"/>
  <c r="B33" i="13"/>
  <c r="B32" i="13"/>
  <c r="G32" i="13" s="1"/>
  <c r="D36" i="13"/>
  <c r="D29" i="13"/>
  <c r="D28" i="13"/>
  <c r="D27" i="13"/>
  <c r="D26" i="13"/>
  <c r="D25" i="13"/>
  <c r="B29" i="13"/>
  <c r="B28" i="13"/>
  <c r="B27" i="13"/>
  <c r="B26" i="13"/>
  <c r="B25" i="13"/>
  <c r="B24" i="13"/>
  <c r="G24" i="13" s="1"/>
  <c r="D30" i="13" l="1"/>
  <c r="D21" i="13"/>
  <c r="D20" i="13"/>
  <c r="D19" i="13"/>
  <c r="B21" i="13"/>
  <c r="B20" i="13"/>
  <c r="B19" i="13"/>
  <c r="B18" i="13"/>
  <c r="G17" i="13"/>
  <c r="B17" i="13"/>
  <c r="B10" i="13"/>
  <c r="B3" i="13"/>
  <c r="D7" i="13"/>
  <c r="C13" i="12"/>
  <c r="C19" i="12"/>
  <c r="C20" i="12"/>
  <c r="C24" i="12"/>
  <c r="C26" i="12"/>
  <c r="C27" i="12"/>
  <c r="C28" i="12"/>
  <c r="C29" i="12"/>
  <c r="C30" i="12"/>
  <c r="C32" i="12"/>
  <c r="C33" i="12"/>
  <c r="C34" i="12"/>
  <c r="C35" i="12"/>
  <c r="C37" i="12"/>
  <c r="C38" i="12"/>
  <c r="C39" i="12"/>
  <c r="C40" i="12"/>
  <c r="C41" i="12"/>
  <c r="C42" i="12"/>
  <c r="C43" i="12"/>
  <c r="C45" i="12"/>
  <c r="C46" i="12"/>
  <c r="C47" i="12"/>
  <c r="C48" i="12"/>
  <c r="C49" i="12"/>
  <c r="C50" i="12"/>
  <c r="C52" i="12"/>
  <c r="C53" i="12"/>
  <c r="C54" i="12"/>
  <c r="C55" i="12"/>
  <c r="C56" i="12"/>
  <c r="C57" i="12"/>
  <c r="C58" i="12"/>
  <c r="C61" i="12"/>
  <c r="C62" i="12"/>
  <c r="C71" i="12"/>
  <c r="C73" i="12"/>
  <c r="C74" i="12"/>
  <c r="C75" i="12"/>
  <c r="C76" i="12"/>
  <c r="C77" i="12"/>
  <c r="C79" i="12"/>
  <c r="C80" i="12"/>
  <c r="C81" i="12"/>
  <c r="C82" i="12"/>
  <c r="C83" i="12"/>
  <c r="C85" i="12"/>
  <c r="C86" i="12"/>
  <c r="C87" i="12"/>
  <c r="C88" i="12"/>
  <c r="C90" i="12"/>
  <c r="C91" i="12"/>
  <c r="C92" i="12"/>
  <c r="C93" i="12"/>
  <c r="C94" i="12"/>
  <c r="C95" i="12"/>
  <c r="C97" i="12"/>
  <c r="C98" i="12"/>
  <c r="C99" i="12"/>
  <c r="C100" i="12"/>
  <c r="C101" i="12"/>
  <c r="C102" i="12"/>
  <c r="C103" i="12"/>
  <c r="C104" i="12"/>
  <c r="C106" i="12"/>
  <c r="C107" i="12"/>
  <c r="C108" i="12"/>
  <c r="C109" i="12"/>
  <c r="C110" i="12"/>
  <c r="C111" i="12"/>
  <c r="C112" i="12"/>
  <c r="C114" i="12"/>
  <c r="C115" i="12"/>
  <c r="C116" i="12"/>
  <c r="C117" i="12"/>
  <c r="C118" i="12"/>
  <c r="C119" i="12"/>
  <c r="C121" i="12"/>
  <c r="C122" i="12"/>
  <c r="C123" i="12"/>
  <c r="C124" i="12"/>
  <c r="C125" i="12"/>
  <c r="C127" i="12"/>
  <c r="C128" i="12"/>
  <c r="C129" i="12"/>
  <c r="C130" i="12"/>
  <c r="C131" i="12"/>
  <c r="C132" i="12"/>
  <c r="C133" i="12"/>
  <c r="C134" i="12"/>
  <c r="C135" i="12"/>
  <c r="C136" i="12"/>
  <c r="C138" i="12"/>
  <c r="C139" i="12"/>
  <c r="C140" i="12"/>
  <c r="C141" i="12"/>
  <c r="C142" i="12"/>
  <c r="C144" i="12"/>
  <c r="C145" i="12"/>
  <c r="C146" i="12"/>
  <c r="C147" i="12"/>
  <c r="C149" i="12"/>
  <c r="C150" i="12"/>
  <c r="C151" i="12"/>
  <c r="C152" i="12"/>
  <c r="C153" i="12"/>
  <c r="C154" i="12"/>
  <c r="C155" i="12"/>
  <c r="D14" i="13"/>
  <c r="D13" i="13"/>
  <c r="D12" i="13"/>
  <c r="D11" i="13"/>
  <c r="D6" i="13"/>
  <c r="B6" i="13"/>
  <c r="A148" i="12"/>
  <c r="A143" i="12"/>
  <c r="A137" i="12"/>
  <c r="A126" i="12"/>
  <c r="A120" i="12"/>
  <c r="A113" i="12"/>
  <c r="A105" i="12"/>
  <c r="A96" i="12"/>
  <c r="A89" i="12"/>
  <c r="A84" i="12"/>
  <c r="A72" i="12"/>
  <c r="A78" i="12"/>
  <c r="A59" i="12"/>
  <c r="A51" i="12"/>
  <c r="A36" i="12"/>
  <c r="C31" i="12" l="1"/>
  <c r="C27" i="13"/>
  <c r="E27" i="13" s="1"/>
  <c r="C143" i="12"/>
  <c r="C34" i="13"/>
  <c r="E34" i="13" s="1"/>
  <c r="C44" i="12"/>
  <c r="C36" i="12"/>
  <c r="C35" i="13"/>
  <c r="E35" i="13" s="1"/>
  <c r="C7" i="13"/>
  <c r="C6" i="13"/>
  <c r="E6" i="13" s="1"/>
  <c r="C18" i="12"/>
  <c r="C5" i="13"/>
  <c r="C25" i="12"/>
  <c r="C113" i="12"/>
  <c r="C148" i="12"/>
  <c r="C29" i="13"/>
  <c r="E29" i="13" s="1"/>
  <c r="C28" i="13"/>
  <c r="E28" i="13" s="1"/>
  <c r="C120" i="12"/>
  <c r="C105" i="12"/>
  <c r="C26" i="13"/>
  <c r="E26" i="13" s="1"/>
  <c r="C25" i="13"/>
  <c r="E25" i="13" s="1"/>
  <c r="C96" i="12"/>
  <c r="C21" i="13"/>
  <c r="E21" i="13" s="1"/>
  <c r="C89" i="12"/>
  <c r="C84" i="12"/>
  <c r="C20" i="13"/>
  <c r="E20" i="13" s="1"/>
  <c r="C19" i="13"/>
  <c r="E19" i="13" s="1"/>
  <c r="C78" i="12"/>
  <c r="C137" i="12"/>
  <c r="C126" i="12" s="1"/>
  <c r="C33" i="13"/>
  <c r="E33" i="13" s="1"/>
  <c r="C72" i="12"/>
  <c r="C18" i="13"/>
  <c r="C59" i="12"/>
  <c r="C14" i="13"/>
  <c r="E14" i="13" s="1"/>
  <c r="C13" i="13"/>
  <c r="E13" i="13" s="1"/>
  <c r="C51" i="12"/>
  <c r="C12" i="13"/>
  <c r="E12" i="13" s="1"/>
  <c r="C11" i="13"/>
  <c r="E11" i="13" s="1"/>
  <c r="D22" i="13"/>
  <c r="B13" i="13"/>
  <c r="B12" i="13"/>
  <c r="B7" i="13"/>
  <c r="B5" i="13"/>
  <c r="B4" i="13"/>
  <c r="C30" i="13" l="1"/>
  <c r="E30" i="13" s="1"/>
  <c r="C36" i="13"/>
  <c r="E36" i="13" s="1"/>
  <c r="E18" i="13"/>
  <c r="C22" i="13"/>
  <c r="E22" i="13" s="1"/>
  <c r="C15" i="13"/>
  <c r="D15" i="13"/>
  <c r="E5" i="13"/>
  <c r="E7" i="13"/>
  <c r="F7" i="13"/>
  <c r="C8" i="13"/>
  <c r="F5" i="13"/>
  <c r="D8" i="13"/>
  <c r="E15" i="13" l="1"/>
  <c r="E4" i="13"/>
  <c r="F4" i="13"/>
  <c r="F8" i="13"/>
  <c r="E8"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tc={756C3E08-52EC-4043-A4EF-984D25589D90}</author>
    <author>Boer, Sander</author>
  </authors>
  <commentList>
    <comment ref="F1" authorId="0" shapeId="0" xr:uid="{00000000-0006-0000-01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 ref="G4" authorId="1" shapeId="0" xr:uid="{B676D224-61F2-4E64-97EF-51791B92D2E4}">
      <text>
        <r>
          <rPr>
            <b/>
            <sz val="9"/>
            <color indexed="81"/>
            <rFont val="Tahoma"/>
            <family val="2"/>
          </rPr>
          <t>Vul hier je opmerking in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tc={60ACC834-E17B-7F43-9BE1-2D2491A22F8D}</author>
  </authors>
  <commentList>
    <comment ref="F1" authorId="0" shapeId="0" xr:uid="{00000000-0006-0000-02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tc={43B1CE6E-A801-C64F-8847-E87A73EDAFB2}</author>
  </authors>
  <commentList>
    <comment ref="F1" authorId="0" shapeId="0" xr:uid="{00000000-0006-0000-03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tc={6800970E-0A3D-FD42-B863-76941D98E7E8}</author>
  </authors>
  <commentList>
    <comment ref="F1" authorId="0" shapeId="0" xr:uid="{00000000-0006-0000-0500-000001000000}">
      <text>
        <t>[Opmerkingenthread]
U kunt deze opmerkingenthread lezen in uw versie van Excel. Eventuele wijzigingen aan de thread gaan echter verloren als het bestand wordt geopend in een nieuwere versie van Excel. Meer informatie: https://go.microsoft.com/fwlink/?linkid=870924
Opmerking:
    1=ja, 2=nee, 3=aanpassing, 4=later, 5=nieuw</t>
      </text>
    </comment>
  </commentList>
</comments>
</file>

<file path=xl/sharedStrings.xml><?xml version="1.0" encoding="utf-8"?>
<sst xmlns="http://schemas.openxmlformats.org/spreadsheetml/2006/main" count="578" uniqueCount="419">
  <si>
    <t>Strategie</t>
  </si>
  <si>
    <t>Governance</t>
  </si>
  <si>
    <t>G.1</t>
  </si>
  <si>
    <t>G.2</t>
  </si>
  <si>
    <t>G.3</t>
  </si>
  <si>
    <t>G.5</t>
  </si>
  <si>
    <t>G.6</t>
  </si>
  <si>
    <t>G.7</t>
  </si>
  <si>
    <t>G.8</t>
  </si>
  <si>
    <t>G.9</t>
  </si>
  <si>
    <t>Visie</t>
  </si>
  <si>
    <t>Financiën</t>
  </si>
  <si>
    <t>V.1</t>
  </si>
  <si>
    <t>F.1</t>
  </si>
  <si>
    <t>F.3</t>
  </si>
  <si>
    <t>Implementatie Ondersteuning</t>
  </si>
  <si>
    <t>Opleiding</t>
  </si>
  <si>
    <t>Helpdesk</t>
  </si>
  <si>
    <t>Module Ontwikkeling</t>
  </si>
  <si>
    <t>P.1</t>
  </si>
  <si>
    <t>P.2</t>
  </si>
  <si>
    <t>Validatie &amp; Certificatie</t>
  </si>
  <si>
    <t>O.1</t>
  </si>
  <si>
    <t>H.1</t>
  </si>
  <si>
    <t>H.2</t>
  </si>
  <si>
    <t>H.3</t>
  </si>
  <si>
    <t>VC.1</t>
  </si>
  <si>
    <t>VC.2</t>
  </si>
  <si>
    <t>Tactiek</t>
  </si>
  <si>
    <t>Adoptie &amp; Erkenning</t>
  </si>
  <si>
    <t>C.1</t>
  </si>
  <si>
    <t>C.2</t>
  </si>
  <si>
    <t>C.3</t>
  </si>
  <si>
    <t>C.4</t>
  </si>
  <si>
    <t>AE.1</t>
  </si>
  <si>
    <t>AE.2</t>
  </si>
  <si>
    <t>AE.3</t>
  </si>
  <si>
    <t>AE.4</t>
  </si>
  <si>
    <t>AE.5</t>
  </si>
  <si>
    <t>MO.1</t>
  </si>
  <si>
    <t>MO.2</t>
  </si>
  <si>
    <t>Architectuur</t>
  </si>
  <si>
    <t>A.1</t>
  </si>
  <si>
    <t>A.2</t>
  </si>
  <si>
    <t>A.3</t>
  </si>
  <si>
    <t>A.4</t>
  </si>
  <si>
    <t>A.5</t>
  </si>
  <si>
    <t>Operationeel</t>
  </si>
  <si>
    <t>Initiatie</t>
  </si>
  <si>
    <t>Wensen &amp; eisen</t>
  </si>
  <si>
    <t>Ontwikkeling</t>
  </si>
  <si>
    <t>Uitvoering</t>
  </si>
  <si>
    <t>Documentatie</t>
  </si>
  <si>
    <t>WE.1</t>
  </si>
  <si>
    <t>WE.2</t>
  </si>
  <si>
    <t>WE.3</t>
  </si>
  <si>
    <t>ON.1</t>
  </si>
  <si>
    <t>ON.2</t>
  </si>
  <si>
    <t>U.1</t>
  </si>
  <si>
    <t>U.2</t>
  </si>
  <si>
    <t>D.1</t>
  </si>
  <si>
    <t>D.2</t>
  </si>
  <si>
    <t>D.3</t>
  </si>
  <si>
    <t>Communicatie</t>
  </si>
  <si>
    <t>Promotie</t>
  </si>
  <si>
    <t>Publicatie</t>
  </si>
  <si>
    <t>Klachtenafhandeling</t>
  </si>
  <si>
    <t>PR.1</t>
  </si>
  <si>
    <t>PR.2</t>
  </si>
  <si>
    <t>PU.1</t>
  </si>
  <si>
    <t>PU.2</t>
  </si>
  <si>
    <t>KL.1</t>
  </si>
  <si>
    <t>Deelname</t>
  </si>
  <si>
    <t>Belangenorganisaties-betrokkendheid</t>
  </si>
  <si>
    <t>Adoptiestrategie</t>
  </si>
  <si>
    <t>Adoptie-instrument</t>
  </si>
  <si>
    <t>Referentie-implementatie</t>
  </si>
  <si>
    <t>Afstemmingsplan</t>
  </si>
  <si>
    <t>Internationale tactiek</t>
  </si>
  <si>
    <t>Roadmapping</t>
  </si>
  <si>
    <t>RM.1</t>
  </si>
  <si>
    <t>MR-management</t>
  </si>
  <si>
    <t>Website met historie, publiek toegankelijk. Toegekend aan versie. Formele consultatie. Workshops of discussiebijeenkomsten. Onderscheid maken tussen fixes, en nieuwe zaken.</t>
  </si>
  <si>
    <t>Iedere belanghebbende kan formeel bezwaar aantekenen tegen de gevolgde procedure. Daarnaast kan informeel een klacht ingediend worden over de gevolgde procedure.</t>
  </si>
  <si>
    <t>Opleidingsaanbod</t>
  </si>
  <si>
    <t>Validatie service</t>
  </si>
  <si>
    <t>Promotiestrategie/ communicatieplan/ marketingplan</t>
  </si>
  <si>
    <t xml:space="preserve">Ontwikkelaar </t>
  </si>
  <si>
    <t xml:space="preserve">Inplementator </t>
  </si>
  <si>
    <t xml:space="preserve">Gebruiker </t>
  </si>
  <si>
    <t xml:space="preserve">1. Open Meeting </t>
  </si>
  <si>
    <t xml:space="preserve">X </t>
  </si>
  <si>
    <t xml:space="preserve">2. Consensus </t>
  </si>
  <si>
    <t xml:space="preserve">3. Due Process </t>
  </si>
  <si>
    <t xml:space="preserve">4. One World </t>
  </si>
  <si>
    <t xml:space="preserve">5. Open IPR </t>
  </si>
  <si>
    <t xml:space="preserve">6. Open Change </t>
  </si>
  <si>
    <t xml:space="preserve">7. Open Documents </t>
  </si>
  <si>
    <t xml:space="preserve">8. Open Interface </t>
  </si>
  <si>
    <t xml:space="preserve">9. Open Access </t>
  </si>
  <si>
    <t xml:space="preserve">10. Ongoing Support </t>
  </si>
  <si>
    <t xml:space="preserve">Eisen </t>
  </si>
  <si>
    <t>Omschrijving</t>
  </si>
  <si>
    <t>De governance, bestuurlijke organisatie en besluitvorming is ingericht</t>
  </si>
  <si>
    <t>Er is een inhoudelijke visie opgesteld over de richting van de ontwikkeling.</t>
  </si>
  <si>
    <t>Een financieel model voor de lange termijn garandeert dat de opbrengsten in overeenstemming zijn met de behoeften.</t>
  </si>
  <si>
    <t>Behoefteanalyse</t>
  </si>
  <si>
    <t>De juiste stakeholders participeren in de community en de juiste samenstelling wordt bewaakt.</t>
  </si>
  <si>
    <t>Adoptiedoelen</t>
  </si>
  <si>
    <t>De samenhang van inhoudelijke producten is op hoofdlijnen getoetst en geformaliseerd in een roadmap.</t>
  </si>
  <si>
    <t>De activiteiten behorende bij het identificeren van nieuwe ideeën zijn opgetuigd.</t>
  </si>
  <si>
    <t>Maintenance Requests (MRs) worden opgesteld bij wensen en eisen.</t>
  </si>
  <si>
    <t>Aanpassingen worden technologie onafhankelijk en op conceptueel niveau uitgewerkt.</t>
  </si>
  <si>
    <t>Veranderingen in de specificatie worden vanuit conceptuele oplossingen uitgevoerd.</t>
  </si>
  <si>
    <t>Zorg ervoor dat klachten en incidenten niet de roadmap gaan sturen. Kleine veranderingen kunnen volgens de normale gang van zaken worden ingepland. Grote veranderingen kunnen waar nodig prioriteit krijgen, maar alleen na beoordeling van de sturende gremia.</t>
  </si>
  <si>
    <t xml:space="preserve">Het primaire beheerproces wordt gedocumenteerd en is voor iedereen inzichtelijk. </t>
  </si>
  <si>
    <t xml:space="preserve">Specificatie vrij beschikbaar
</t>
  </si>
  <si>
    <t>D.4</t>
  </si>
  <si>
    <t xml:space="preserve">Er worden opleidingsmogelijkheden geboden aan verschillende gebruikersgroepen. </t>
  </si>
  <si>
    <t>Er is een helpdesk beschikbaar die binnen een vastgesteld aantal dagen issues oplost.</t>
  </si>
  <si>
    <t>Een Service Level Agreement wordt gebruikt om formele afspraken rond support te garanderen. Veel partijen zien dit als een betrouwbaar signaal dat de standaard een dermate volwassen stadium heeft bereikt, dat implementatie geen grote risico’s met zich meebrengt.</t>
  </si>
  <si>
    <t>Validaties en certificering toetsen de correctheid van implementaties.</t>
  </si>
  <si>
    <t>Klachten worden zorgvuldig behandeld en gebruikt in verbeteringstrajecten.</t>
  </si>
  <si>
    <t>kan bij stakeholdermanagement. Als je een open stelsel bent dan zijn dit de zaken die je moet volgen.</t>
  </si>
  <si>
    <t>Vraagtype</t>
  </si>
  <si>
    <t>Antwoordopties</t>
  </si>
  <si>
    <t>Yes/No</t>
  </si>
  <si>
    <t>No</t>
  </si>
  <si>
    <t>Nee</t>
  </si>
  <si>
    <t>Yes</t>
  </si>
  <si>
    <t>Ja</t>
  </si>
  <si>
    <t>optional</t>
  </si>
  <si>
    <t>Not required</t>
  </si>
  <si>
    <t>Niet van toepassing</t>
  </si>
  <si>
    <t>Yes/No/Unknown</t>
  </si>
  <si>
    <t>answer options</t>
  </si>
  <si>
    <t>Unknown</t>
  </si>
  <si>
    <t>Niet bekend</t>
  </si>
  <si>
    <t>Detailed</t>
  </si>
  <si>
    <t xml:space="preserve">Niet </t>
  </si>
  <si>
    <t>Partially</t>
  </si>
  <si>
    <t>Beperkt</t>
  </si>
  <si>
    <t>Averagely</t>
  </si>
  <si>
    <t>Gemiddeld / Redelijk</t>
  </si>
  <si>
    <t>Mostly</t>
  </si>
  <si>
    <t>Overwegend</t>
  </si>
  <si>
    <t>Fully</t>
  </si>
  <si>
    <t>Volledig</t>
  </si>
  <si>
    <t>Optional</t>
  </si>
  <si>
    <t>Completeness</t>
  </si>
  <si>
    <t>Incomplete</t>
  </si>
  <si>
    <t>Niet</t>
  </si>
  <si>
    <t>Partially complete</t>
  </si>
  <si>
    <t>Averagely complete</t>
  </si>
  <si>
    <t>Redelijk compleet</t>
  </si>
  <si>
    <t>Mostly complete</t>
  </si>
  <si>
    <t>Vrijwel compleet</t>
  </si>
  <si>
    <t>Fully complete</t>
  </si>
  <si>
    <t>Importance</t>
  </si>
  <si>
    <t>None</t>
  </si>
  <si>
    <t>Low</t>
  </si>
  <si>
    <t>Laag</t>
  </si>
  <si>
    <t>Normal</t>
  </si>
  <si>
    <t>Gemiddeld</t>
  </si>
  <si>
    <t>High</t>
  </si>
  <si>
    <t>Hoog</t>
  </si>
  <si>
    <t>Critical</t>
  </si>
  <si>
    <t>Kritisch</t>
  </si>
  <si>
    <t>Weighing</t>
  </si>
  <si>
    <t>x1</t>
  </si>
  <si>
    <t>x2</t>
  </si>
  <si>
    <t>x3</t>
  </si>
  <si>
    <t>x4</t>
  </si>
  <si>
    <t>x5</t>
  </si>
  <si>
    <t>Occurrence</t>
  </si>
  <si>
    <t>Never</t>
  </si>
  <si>
    <t>Nooit</t>
  </si>
  <si>
    <t>Sometimes</t>
  </si>
  <si>
    <t>Soms</t>
  </si>
  <si>
    <t>Regelmatig</t>
  </si>
  <si>
    <t>Vaak</t>
  </si>
  <si>
    <t>Always</t>
  </si>
  <si>
    <t>Altijd</t>
  </si>
  <si>
    <t>Satisfaction</t>
  </si>
  <si>
    <t>Somewhat</t>
  </si>
  <si>
    <t>Assessmentvraag per onderdeel</t>
  </si>
  <si>
    <t>Antwoord</t>
  </si>
  <si>
    <t xml:space="preserve">(Gemiddelde) Huidige positie </t>
  </si>
  <si>
    <t>Ambitie</t>
  </si>
  <si>
    <t>Gap</t>
  </si>
  <si>
    <t xml:space="preserve">Niveau </t>
  </si>
  <si>
    <t>Resultaten Selfassessment BOMOS</t>
  </si>
  <si>
    <t>Escalatie</t>
  </si>
  <si>
    <t>Toezicht</t>
  </si>
  <si>
    <t xml:space="preserve">Escalatieprocedures en lijnen zijn beschikbaar. </t>
  </si>
  <si>
    <t>Business Case</t>
  </si>
  <si>
    <t xml:space="preserve">Business Case
</t>
  </si>
  <si>
    <t>Benefits management</t>
  </si>
  <si>
    <t>BC.1</t>
  </si>
  <si>
    <t>Business case management</t>
  </si>
  <si>
    <t>Er is een goed inzicht in de te bereiken voordelen/benefits en de daarvoor benodigde inspanning/kosten.</t>
  </si>
  <si>
    <t>V2</t>
  </si>
  <si>
    <t>BC.2</t>
  </si>
  <si>
    <t>BC.3</t>
  </si>
  <si>
    <t>Vraag</t>
  </si>
  <si>
    <t>De business case is opgesteld en wordt onderhouden en op gestuurd.</t>
  </si>
  <si>
    <t>Business case</t>
  </si>
  <si>
    <t>Score</t>
  </si>
  <si>
    <r>
      <t>Score 
(houdt rekening met '</t>
    </r>
    <r>
      <rPr>
        <b/>
        <i/>
        <sz val="11"/>
        <rFont val="Calibri"/>
        <family val="2"/>
        <scheme val="minor"/>
      </rPr>
      <t>niet van toepassing'</t>
    </r>
    <r>
      <rPr>
        <b/>
        <sz val="11"/>
        <rFont val="Calibri"/>
        <family val="2"/>
        <scheme val="minor"/>
      </rPr>
      <t>)</t>
    </r>
  </si>
  <si>
    <t>De visie wordt actief gedeeld met de omgeving. De goverance organiseert draagvlak mbt visie.</t>
  </si>
  <si>
    <r>
      <t xml:space="preserve">Relevant 
Logius
</t>
    </r>
    <r>
      <rPr>
        <sz val="10"/>
        <color theme="0"/>
        <rFont val="Calibri (Hoofdtekst)"/>
      </rPr>
      <t>1=ja, 2=nee, 3=aanpassing, 4=later
5=nieuw</t>
    </r>
  </si>
  <si>
    <t>Gerichte sturing op de benefits borgt de daadwerkelijke realisatie daarvan. Wie er dient te sturen is sterk afhankelijk van de context.  Programma management raamwerken zoals MSP bieden hiervoor voldoende handvatten.</t>
  </si>
  <si>
    <t>V.2</t>
  </si>
  <si>
    <t>Een publiek toegankelijk platform is beschikbaar waarbij wensen en eisen kunnen worden ingediend en waarvan de afhandeling kan worden gemonitord.</t>
  </si>
  <si>
    <t>Een wijzigingsprocedure is ingeregeld en gepubliceerd.</t>
  </si>
  <si>
    <t>Wijzigingen worden eerst conceptueel getoetst voordat ze technisch geïmplementeerd worden.</t>
  </si>
  <si>
    <t>Er bestaat een procedure wie klachten kan indienen en hoe deze behandeld worden.</t>
  </si>
  <si>
    <t>Totaal</t>
  </si>
  <si>
    <t>Een op de verschillende doelgroepen afgestemd communicatieplan is beschikbaar en wordt uitgevoerd.</t>
  </si>
  <si>
    <t>Meerdere kanalen/platforms worden benut voor de communicatie naar de verschillende doelgroepen.</t>
  </si>
  <si>
    <t xml:space="preserve">Relevant 
Logius
</t>
  </si>
  <si>
    <t>Relevant 
Logius</t>
  </si>
  <si>
    <t>Vastlegging afspraken</t>
  </si>
  <si>
    <t>Een stakeholder-analyse is uitgevoerd en vastgelegd. De analyse wordt periodiek herhaald om eventuele wijzigingen tijdig te onderkennen.</t>
  </si>
  <si>
    <t>Draagvlak</t>
  </si>
  <si>
    <t>Structureel financieel model</t>
  </si>
  <si>
    <t>Ambities en doelstellingen</t>
  </si>
  <si>
    <t>Inhoudelijke samenhang vastleggen</t>
  </si>
  <si>
    <t xml:space="preserve">Beschrijf doelen waarmee u de markt wilt verleiden tot adoptie. </t>
  </si>
  <si>
    <t xml:space="preserve">Zorg voor een voor iedereen toegankelijk platform voor communicatie en informatie
</t>
  </si>
  <si>
    <t>Deelnemers</t>
  </si>
  <si>
    <t>Datum</t>
  </si>
  <si>
    <t xml:space="preserve">Ontwikkelingscheiding
</t>
  </si>
  <si>
    <t xml:space="preserve">Toelichting </t>
  </si>
  <si>
    <t>Toelichting</t>
  </si>
  <si>
    <t>BOMOS model</t>
  </si>
  <si>
    <t xml:space="preserve">Conceptuele oplossingen
</t>
  </si>
  <si>
    <t>Documentatie  beheerproces</t>
  </si>
  <si>
    <t>Servicecontracten</t>
  </si>
  <si>
    <t>Adoptiebeleid</t>
  </si>
  <si>
    <t>Modules en libraries</t>
  </si>
  <si>
    <t>Vernieuwing</t>
  </si>
  <si>
    <t>Vernieuwingsproces</t>
  </si>
  <si>
    <t xml:space="preserve">Inspectie en/of toetsing
</t>
  </si>
  <si>
    <t>Het proces voor vernieuwing met de bijbehorende beoordelingscriteria is beschreven.</t>
  </si>
  <si>
    <t>Inspecties en toetsingen zijn ingeregeld.</t>
  </si>
  <si>
    <t>Pilot/vernieuwing</t>
  </si>
  <si>
    <t>Een analyse is gemaakt van de verschillende mogelijk in te zetten adoptie-instrumenten. De van toepassing zijnde instrumenten zijn uitgewerkt en worden volledig ingezet.</t>
  </si>
  <si>
    <t xml:space="preserve">Openbaarheid documenten </t>
  </si>
  <si>
    <t>Alle relevante documenten zijn publiek toegankelijk.</t>
  </si>
  <si>
    <t>Besluitvorming/
huishoudelijk regelement</t>
  </si>
  <si>
    <t>Een procedure is aanwezig voor het laten deelnemen van organisaties aan de governance.</t>
  </si>
  <si>
    <t xml:space="preserve">Het is duidelijk  waar de  kwestie voor besluitvorming kan worden voorgelegd indien partijen er niet onderling uitkomen. </t>
  </si>
  <si>
    <t>De doelstellingen, resultaten en werkafspraken zijn vastgelegd en door de stakeholders en overige betrokkenen ondertekend/bekrachtigd. De gekozen vorm van vastlegging is daarbij passend voor alle betrokkenen.</t>
  </si>
  <si>
    <t>Een stakeholder-analyse opstellen is verstandig en in complexe situaties een must.
Voor de goverance is het van belang goed inzicht  in het speelveld te hebben en daarmee  de verbinding te organiseren.</t>
  </si>
  <si>
    <t xml:space="preserve">Pilots
</t>
  </si>
  <si>
    <t>Denk aan een stakeholder-analyse.</t>
  </si>
  <si>
    <t>Scheiding tussen conceptuele en technische oplossing.
Het is van belang om ideeën eerst conceptueel te toetsen voordat deze worden geïmplementeerd. Vooral in eerdere levensfases is het verleidelijk om vernieuwingen direct door te voeren en als ‘bèta’ uit te brengen. Dit kan echter leiden tot onvoorziene problemen.</t>
  </si>
  <si>
    <t xml:space="preserve">De organisatiestructuur is goed beschreven en onderbouwd. 
</t>
  </si>
  <si>
    <t>Een gedeelde missie is essentieel voor effectieve samenwerking. Leg deze missie en doelstellingen daarom vroeg in het proces vast en laat alle stakeholders deze formeel bekrachtigen.</t>
  </si>
  <si>
    <t>De besluitvormingsprocessen van de governance zijn beschreven waarbij het helder is welk gremium over welke onderwerpen gaat.</t>
  </si>
  <si>
    <t>Een evenwichtige afspiegeling van stakeholders in de besturingsstructuur vormt de basis voor breed draagvlak.</t>
  </si>
  <si>
    <t>Het is duidelijk waar welke belanghebbenden moeten deelnemen en welke rol zij dienen te vervullen.</t>
  </si>
  <si>
    <t>De stakeholders kunnen optimaal hun achterban bereiken en vertegenwoordigen. Daarmee zijn ze waardevol om draagvlak te creëren binnen de governance.</t>
  </si>
  <si>
    <t xml:space="preserve">Sturing </t>
  </si>
  <si>
    <t>Een meerjarenplanning of roadmap waarbij de visie is vertaald in activiteiten is publiek beschikbaar</t>
  </si>
  <si>
    <t>Roadmap</t>
  </si>
  <si>
    <t>De visie anticipeert op relevante technologische, maatschappelijke en juridische ontwikkelingen en bevat een strategie om hierop in te spelen.</t>
  </si>
  <si>
    <t>Meebewegen</t>
  </si>
  <si>
    <t>De business case wordt periodiek geëvalueerd en bijgesteld op basis van actuele ontwikkelingen en gerealiseerde baten.</t>
  </si>
  <si>
    <t>Toekomstbestendigheid</t>
  </si>
  <si>
    <t>Er is een continuïteitsplan voor het geval belangrijke financiers wegvallen.</t>
  </si>
  <si>
    <t>Continuiteit</t>
  </si>
  <si>
    <t>Hoe beperk je de  kwetsbaarheid in het geval dat een belangrijke financier wegvalt?</t>
  </si>
  <si>
    <t>G.4</t>
  </si>
  <si>
    <t>G4</t>
  </si>
  <si>
    <t>V.3</t>
  </si>
  <si>
    <t>V.4</t>
  </si>
  <si>
    <t>V3</t>
  </si>
  <si>
    <t>V4</t>
  </si>
  <si>
    <t>BC.4</t>
  </si>
  <si>
    <t>F.2</t>
  </si>
  <si>
    <t>F.4</t>
  </si>
  <si>
    <t>Transparantie</t>
  </si>
  <si>
    <t>T1</t>
  </si>
  <si>
    <t>T2</t>
  </si>
  <si>
    <t>T3</t>
  </si>
  <si>
    <t>T4</t>
  </si>
  <si>
    <t>Er is een voor alle doelgroepen begrijpelijke en goed vindbare toelichting beschikbaar</t>
  </si>
  <si>
    <t>Merk</t>
  </si>
  <si>
    <t>Duidelijke uitleg</t>
  </si>
  <si>
    <t>PU.3</t>
  </si>
  <si>
    <t>Borgt transparantie, vindbaarheid en laagdrempelige toegang tot informatie voor bestaande en potentiële gebruikers.</t>
  </si>
  <si>
    <t>De communicatie en publicatie voldoen aan relevante toegankelijkheidsrichtlijnen (zoals Digitoegankelijk) en zijn bruikbaar voor verschillende doelgroepen, inclusief mensen met een beperking.</t>
  </si>
  <si>
    <t>Er is een procedure voor het publiceren van nieuwe versies, updates en belangrijke besluiten, inclusief tijdige aankondiging en duidelijke uitleg van de impact.</t>
  </si>
  <si>
    <t>Borgt voorspelbaarheid en transparantie bij wijzigingen</t>
  </si>
  <si>
    <t xml:space="preserve">Bezwaar- en klachtenprocedure </t>
  </si>
  <si>
    <t>Toegankelijkheid</t>
  </si>
  <si>
    <t>PU.4</t>
  </si>
  <si>
    <t>De organisatie borgt dat iedere klacht zorgvuldig, objectief en met empathie wordt behandeld, waarbij de klager actief wordt geïnformeerd over de voortgang en uitkomst van de klacht.</t>
  </si>
  <si>
    <t>Er is een systematische registratie en analyse van klachten, waarbij trends en structurele knelpunten worden gesignaleerd en deze informatie wordt ingezet voor het continu verbeteren van processen, producten of dienstverlening.</t>
  </si>
  <si>
    <t xml:space="preserve">Zorgvuldigheid
</t>
  </si>
  <si>
    <t>PR.3</t>
  </si>
  <si>
    <t>PR.4</t>
  </si>
  <si>
    <t>KL.2</t>
  </si>
  <si>
    <t>KL.3</t>
  </si>
  <si>
    <t>Bereikbaarheid</t>
  </si>
  <si>
    <t>De helpdesk is bereikbaar via meerdere kanalen en deze kanalen zijn duidelijk gecommuniceerd aan alle stakeholders.</t>
  </si>
  <si>
    <t>Borgt laagdrempelige toegang tot ondersteuning.</t>
  </si>
  <si>
    <t>Er is een ondersteuningsaanbod beschikbaar voor implementatoren, zoals documentatie, voorbeeldbestanden, testtools en een helpdesk, waarmee zij zich kunnen voorbereiden op validatie en certificatie.</t>
  </si>
  <si>
    <t>VC.3</t>
  </si>
  <si>
    <t>Ondersteuning</t>
  </si>
  <si>
    <t>Werkgroepen</t>
  </si>
  <si>
    <t>De ambities en doelstellingen van de werkgroep zijn formeel vastgelegd.</t>
  </si>
  <si>
    <t>Werkgroep organisatie</t>
  </si>
  <si>
    <t>De rollen en verantwoordelijkheden binnen de werkgroep zijn gedefinieerd en ingeregeld waarbij de 'eigenaar' van de community bekend is en  een actieve ondersteunende rol heeft.</t>
  </si>
  <si>
    <t>Een succesvolle werkgroep kenmerkt zich o.a. door duidelijk belegde rollen en verantwoordelijkheden.</t>
  </si>
  <si>
    <t>Van elk lid van de werkgroep is het duidelijk wat de meerwaarde voor zowel het lid, de community is en de deelnemende organisaties zijn .</t>
  </si>
  <si>
    <t>De werkgroepen hebben een evenwichtige vertegenwoordiging van alle relevante stakeholders en er zijn effectieve mechanismen om actieve participatie te stimuleren</t>
  </si>
  <si>
    <t>De adoptiestrategie bevat werkende voorbeelden zoals demo's of pilots om meerwaarde aan de verschillende stakeholders te laten zien.</t>
  </si>
  <si>
    <t xml:space="preserve">Jaarplan/Ontwikkelagenda
</t>
  </si>
  <si>
    <t>RA1</t>
  </si>
  <si>
    <t>RA2</t>
  </si>
  <si>
    <t>RA3</t>
  </si>
  <si>
    <t>RA4</t>
  </si>
  <si>
    <t>Er is een ontwikkelagenda opgesteld ﻿waarmee invulling wordt gegeven aan de geformuleerde visie. Deze agenda maakt duidelijk welke ontwikkeling op welk moment in de tijd gerealiseerd gaat worden.</t>
  </si>
  <si>
    <t>Proces</t>
  </si>
  <si>
    <t>De documentatie is (digi-)toegankelijk en bruikbaar voor verschillende doelgroepen, inclusief technische, juridische en operationele gebruikers.</t>
  </si>
  <si>
    <t>Toegankelijk</t>
  </si>
  <si>
    <t>Versiebeheer</t>
  </si>
  <si>
    <t>Alle wijzigingen doorlopen een formeel wijzigingsproces, waarbij duidelijk is hoe voorstellen worden ingediend, beoordeeld, getest en geïmplementeerd. Er is beleid voor versiebeheer (major/minor/bugfixes) en voor het uitfaseren van verouderde versies.</t>
  </si>
  <si>
    <t>Alle relevante specificaties, architectuurdocumenten, implementatiehandleidingen en ondersteunende hulpmiddelen (zoals testtools of voorbeeldcode) zijn vrij toegankelijk voor alle stakeholders. Dit bevordert transparantie, adoptie en correcte implementatie door alle deelnemers</t>
  </si>
  <si>
    <t xml:space="preserve">Specificaties
</t>
  </si>
  <si>
    <t>ON.3</t>
  </si>
  <si>
    <t xml:space="preserve">Denk aan het aanbieden van een open implementatie, validator software,  API’s/libraries voor test en ontwikkelwerkzaamheden om eigen implementatie te maken. </t>
  </si>
  <si>
    <t>Het aanbieden van validatie service (via helpdesk, online omgeving), adoptie werkt bevorderend.</t>
  </si>
  <si>
    <t>Inspecties, toetsingen van derden en een ‘eigen verklaring’ van conformiteit zijn instrumenten om aan te tonen dat de implementatie voldoet.
Test de (individuele) implementaties, bijvoorbeeld door een certificeringsprogramma op te stellen voor deelnemende leveranciers.</t>
  </si>
  <si>
    <t>Er is documentatie met de beheerprocessen zoals een operationeel handboek waarbij de benodigde (ITIL) processen zijn beschreven.</t>
  </si>
  <si>
    <t xml:space="preserve">	</t>
  </si>
  <si>
    <t>Het moet helder zijn voor iedereen op welke manier, binnen welk tijdskader en door wie de besluiten worden genomen. Voor elk onderdeel van de governance is een beschrijving nodig hoe de besluitvorming is ingericht. Daarin staan regels hoe de besluitvorming tot stand komt; wanneer er sprake is van geldige besluitvorming.</t>
  </si>
  <si>
    <t xml:space="preserve">Organisatiestructuur/
organisatiebeleid </t>
  </si>
  <si>
    <t>Stakeholdersbetrokkenheid</t>
  </si>
  <si>
    <t>Stakeholderanalyse</t>
  </si>
  <si>
    <t>Het financieringsmodel is toekomstbestendig en kan meegroeien met het aantal deelnemers.</t>
  </si>
  <si>
    <t xml:space="preserve">Op verschillende niveaus dient de sturing ingeregeld te zijn. Dit vormen tevens de escalatieniveaus. Een voorstel kan zijn hiervoor de MSP methodiek toe te passen.  Bij de besturing is het inzichtelijk cq transparant voor de betrokken partijen hoe de besluitvorming tot stand komt. </t>
  </si>
  <si>
    <t>Werkgroep samenstelling</t>
  </si>
  <si>
    <t>Community analyse/stakeholderanalyse</t>
  </si>
  <si>
    <t xml:space="preserve">Wijzigingsbeheer
</t>
  </si>
  <si>
    <t>Er is een transparant en toegankelijk proces voor het indienen, beoordelen en prioriteren van wensen en eisen door alle stakeholders.</t>
  </si>
  <si>
    <t>De specificaties, documentatie en hulpmiddelen voor implementatie zijn publiek beschikbaar en actueel.</t>
  </si>
  <si>
    <t>Er is een gestructureerd changemanagementproces ingericht, inclusief versiebeheer en uitfasering van oude versies.</t>
  </si>
  <si>
    <t>Het beheerproces is gedocumenteerd en publiek toegankelijk.</t>
  </si>
  <si>
    <t>De specificatie, hulpmiddelen en andere documenten noodzakelijk voor correcte implementaties moeten vrij beschikbaar zijn op een website en/of opvraagbaar bij de beheerorganisatie. Bij andere documenten kan men denken aan bijvoorbeeld (implementatie)handleidingen, frequently asked questions. Bij hulpmiddelen kan gedacht worden aan API's , standaard software, testsoftware, voorbeeld testcases.</t>
  </si>
  <si>
    <t xml:space="preserve">Een technisch adoptiebeleid is opgesteld. </t>
  </si>
  <si>
    <t>Een validatieservice is aanwezig.</t>
  </si>
  <si>
    <t>Denk aan opleidingsmateriaal of een training/cursus.</t>
  </si>
  <si>
    <t xml:space="preserve">Helpdesk-functie </t>
  </si>
  <si>
    <t>Er is een helpdeskfunctie beschikbaar voor deelnemers en belanghebbenden. Je kan hier verstoringen melden en vragen stellen.</t>
  </si>
  <si>
    <t>Er zijn servicecontracten opgesteld voor de invulling van de helpdeskfunctie.</t>
  </si>
  <si>
    <t>Publicatieprocedure</t>
  </si>
  <si>
    <t xml:space="preserve">Logische plek voor communicatie </t>
  </si>
  <si>
    <t>Van klacht naar verbetering</t>
  </si>
  <si>
    <r>
      <t xml:space="preserve">De middelen om adoptie te beïnvloeden zijn in drie hoofdgroepen te verdelen: </t>
    </r>
    <r>
      <rPr>
        <b/>
        <sz val="12"/>
        <color theme="1"/>
        <rFont val="Calibri"/>
        <family val="2"/>
        <scheme val="minor"/>
      </rPr>
      <t xml:space="preserve">Juridisch, Financieel en Communicatief. </t>
    </r>
    <r>
      <rPr>
        <sz val="12"/>
        <color theme="1"/>
        <rFont val="Calibri"/>
        <family val="2"/>
        <scheme val="minor"/>
      </rPr>
      <t xml:space="preserve">Denk aan  juridisch verplichten (dat heeft  de meeste invloed). Bij een hoge individuele en collectieve adoptiekans is communicatie (informeren) veelal voldoende om adoptie te vergroten. </t>
    </r>
  </si>
  <si>
    <t>Wel/niet participeren in internationale gremia: meedoen geeft invloed. Europa zet in op interoperabiliteit tussen de lidstaten dus dat biedt toekomst.</t>
  </si>
  <si>
    <t xml:space="preserve">Effectieve governance zorgt voor een gestructureerde afstemming tussen alle betrokken partijen. Deze organisatiestructuur vormt het fundament voor succesvolle samenwerking en besluitvorming binnen de standaard. </t>
  </si>
  <si>
    <t>Het is duidelijk hoe men zich voor governance deelname kan aanmelden en hoe over uiteindelijke deelname wordt beslist.</t>
  </si>
  <si>
    <t>De strategische, tactische en operationele aansturing is transparant en sluit aan bij de ambities van de standaard.</t>
  </si>
  <si>
    <t>De belanghebbenden van de standaard zijn duidelijk geïdentificeerd en er zijn transparante procedures vastgelegd waarmee zij actief kunnen deelnemen in de besturing.</t>
  </si>
  <si>
    <t>Een volwassen standaard heeft een visie die niet alleen de huidige situatie adresseert, maar ook anticipeert op toekomstige ontwikkelingen zoals nieuwe technologieën, veranderende gebruikersbehoeften, wijzigingen in wet- en regelgeving en maatschappelijke trends.</t>
  </si>
  <si>
    <t>Structurele financiering voor de komende 2 tot 3 jaar is voor de standaard geregeld.</t>
  </si>
  <si>
    <t xml:space="preserve">Breng in kaart wat voor financiële behoefte de  standaard heeft. Houd hierbij ook rekening met de verwachtingen van stakeholders. Als er met een meerjarenbegroting wordt gerekend moet deze gebaseerd zijn op structurele inkomsten. </t>
  </si>
  <si>
    <t>De structurele financiering is gebaseerd op een grondige behoefte analyse voor het beheren en doorontwikkelen van een standaard.</t>
  </si>
  <si>
    <t>Een goed financieringsmodel voor een standaard moet de volgende eigenschappen hebben:
Proportionaliteit/ Flexibiliteit/ Evenwichtige verdeling / Voorspelbaarheid.</t>
  </si>
  <si>
    <t>Er is een adoptiestrategie ontwikkeld die gericht is op het vergroten van het draagvlak voor de  stadaard.</t>
  </si>
  <si>
    <t>Een formele status van de standaard is essentieel voor gebruik en adoptie in het publieke en private domein. Dat kan op verschillende manieren worden geregeld: idealiter in wetgeving en/of convenanten. Naast wet- en regelgeving helpt een adoptiestrategie om gebruik te stimuleren.</t>
  </si>
  <si>
    <t>Een referentie-implementatie is onderdeel van de adoptiestrategie om de verschillende stakeholders te overtuigen van de meerwaarde van de  standaard.</t>
  </si>
  <si>
    <t>De  architectuur van de standaard is beschikbaar.</t>
  </si>
  <si>
    <t>Alle afhankelijkheden met andere standaarden moeten expliciet benoemd zijn. De functionele afbakening dient expliciet beschreven te zijn. Daarnaast kunnen andere standaarden worden hergebruikt of verder worden ingevuld voor bijvoorbeeld lokalisatie.
Er is een model voorhanden (bijvoorbeeld in Archimate) waarin de structuren, verbanden en gedrag in een architectuur zijn beschreven.</t>
  </si>
  <si>
    <t>De relatie en afhankelijkheden met andere  standaarden zijn volledig in kaart gebracht.</t>
  </si>
  <si>
    <t>Als er een relatie is met andere  standaarden dan dienen deze beschreven te worden. De visie beschrijft het beleid rond de samenhang.</t>
  </si>
  <si>
    <t>Er is waar nodig  afstemming met vertegenwoordigers van overige  standaarden.</t>
  </si>
  <si>
    <t>Als er een (deels) overlappende standaarden zijn dan helpt het om deze relaties te beschrijven. Denk bijvoorbeeld aan Europese initiatieven. Dat helpt bij bepalen impact en beeld vormen van afhankelijkheden.</t>
  </si>
  <si>
    <t>Er wordt vanuit beheerorganisatie van de standaard actief deelgenomen aan internationale gremia. Relevante internationale ontwikkelingen worden  gemonitord.</t>
  </si>
  <si>
    <t>Specificaties van de standaard zijn beschikbaar en publiek toegankelijk.</t>
  </si>
  <si>
    <t xml:space="preserve">Het is belangrijk om alle documenten waar geen expliciete vertrouwelijkheid op rust, openbaar aan te bieden. Transparantie is een belangrijjke kernwaarde om draagvlak te realiseren. Op deze manier kan iedereen aan de standaard meewerken en meedenken.
</t>
  </si>
  <si>
    <t>Maakt de tandaard breed toepasbaar en begrijpelijk voor alle betrokkenen.</t>
  </si>
  <si>
    <t>Een aanpassing aan de  standaard wordt eerst zorgvuldig ontworpen en getoetst voordat deze definitief wordt ingevoerd.</t>
  </si>
  <si>
    <t>In de ideale situatie bestaat er een formeel gedocumenteerd proces dat beschrijft hoe stakeholders wijzigingsverzoeken kunnen indienen, hoe deze worden beoordeeld, geprioriteerd en uiteindelijk al dan niet worden geïmplementeerd. Dit proces is voor alle stakeholders inzichtelijk en toegankelijk, waardoor zij actief kunnen bijdragen aan de doorontwikkeling van de standaard.</t>
  </si>
  <si>
    <t>De standaard is in staat om verschillende stakeholders goed te bedienen met modules en libraries.</t>
  </si>
  <si>
    <t>De standaard is in staat om te innoveren.</t>
  </si>
  <si>
    <t>Vernieuwen is een integraal onderdeel van het ontwerp van de standaard.</t>
  </si>
  <si>
    <t xml:space="preserve">De uitdaging blijft: hoe vermarkt ik de standaard? Dit is niet anders dan bij “gewone” producten. </t>
  </si>
  <si>
    <t>Een animatie of filmpje op een website kan binnen enkele minuten duidelijkheid geven over de nut  en noodzaak van een standaard. Zo ook wat het concreet voor gebruikers inhoudt.</t>
  </si>
  <si>
    <t>Draag op elk niveau de voordelen de standaard uit. Weet wat de markt beweegt en welk probleem het oplost.</t>
  </si>
  <si>
    <t>Het nut/noodzaak/voordeel van de  standaard wordt actief uitgedragen</t>
  </si>
  <si>
    <t>De website voldoet aan de Digitoegankelijk richtlijnen.  Deze site bevat nieuws over de ontwikkeling, adoptie en doelen van de  standaard . De website bevat instructies hoe men aan de volle specificaties komt. Verder moeten communicatielijnen duidelijk zijn, zowel voor vaste bezoekers als voor nieuw geïnteresseerde bezoekers.</t>
  </si>
  <si>
    <t>Er is een publiek toegankelijke, goed vindbare en gebruiksvriendelijke website of platform waarop alle relevante informatie, nieuws, documentatie en updates over de standaard worden gepubliceerd.</t>
  </si>
  <si>
    <t xml:space="preserve">Er is een duidelijk geëxpliciteerde visie over de bovenliggende doelstellingen en de bijdrage daaraan van de  standaard beschikbaar. </t>
  </si>
  <si>
    <t>De visiedocumenten zijn publiek beschikbaar. De boodschap staat bijvoorbeeld op de site van de standaard.</t>
  </si>
  <si>
    <t>De governance evalueert regelmatig of de standaard  nog effectief bijdraagt aan de beoogde maatschappelijke doelen en voordelen.</t>
  </si>
  <si>
    <t>De business case is transparant en wordt actief gebruikt in de besluitvorming over doorontwikkeling en investeringen in de  standaard.</t>
  </si>
  <si>
    <t>In een volwassen standaard worden beslissingen over nieuwe functionaliteiten, wijzigingen of investeringen expliciet getoetst aan de business case, waarbij wordt gekeken naar de impact op de verwachte kosten en baten voor alle betrokken partijen.</t>
  </si>
  <si>
    <t>De governance stuurt concreet op het realiseren van maatschappelijke waarde van de standaard.</t>
  </si>
  <si>
    <t>Er moet een structureel financieringsmodel beschreven zijn dat realistische garanties geeft dat er jaarlijks structureel voldoende budget is om op zijn minst de standaard te onderhouden. Een eenmalige subsidie voldoet dus zeker niet hieraan.</t>
  </si>
  <si>
    <t xml:space="preserve">Een roadmap voor een aantal jaren is  een belangrijk instrument om (door)ontwikkeling en uitfasering van de verschillende onderdelen van een standaard inzichtelijk te maken. </t>
  </si>
  <si>
    <t>Een volwassen werkgroepenstructuur heeft een duidelijke indeling naar thema's of expertisegebieden (zoals architectuur, juridisch, taxonomie, visie), waarbij elke werkgroep een helder omschreven doel heeft en weet welke beslissingsbevoegdheid zij heeft. De werkgroepen zijn zodanig ingericht dat ze gezamenlijk alle aspecten van de standaard afdekken en bijdragen aan de realisatie van de strategische doelstellingen.</t>
  </si>
  <si>
    <t>Er is een strategie om adoptie van de standaard te verhogen.</t>
  </si>
  <si>
    <t>Een adoptiestrategie is geformuleerd waarmee het draagvlak van de toepassing van de standaard  wordt bevorderd.</t>
  </si>
  <si>
    <t xml:space="preserve">Van toepassing in de start/oprichtingsfase. De resultaten van een pilot kunnen positief bijdragen aan het draagvlak van een standaard en tevens bijdragen aan verbetering van de kwaliteit. </t>
  </si>
  <si>
    <t>De doelen waarmee de 'markt' verleid gaat worden gebruik te maken van de standaard  zijn expliciet beschreven.</t>
  </si>
  <si>
    <t>Een referentie-implementatie is een middel om de werking en praktische haalbaarheid van een standaard aan te tonen en helpt om de drempel voor gebruik te verlagen. Tevens is het een hulpmiddel waarmee weeffouten in een standaard vroegtijdig glad gestreken kunnen worden.</t>
  </si>
  <si>
    <t xml:space="preserve">Er bestaan afspraken en procedures hoe deelnemers binnen een standaard  wijzigingen doorvoeren en elkaar daarover informeren. Er zijn procedures beschreven hoe de interoperabiliteit gewaarborgd is.  Er is een changeproces beschreven en dit proces wordt gevolgd en bewaakt.  </t>
  </si>
  <si>
    <t>Maak een plan voor de daadwerkelijke adoptie van de  standaard. Zodoende kunt u de markt bewegen tot het maken van libraries en modules die de adoptie van de standaard  stimuleren.</t>
  </si>
  <si>
    <t>Een procesbeschrijving helpt dat de standaard in staat is nieuwe ontwikkelingen tijdig te signaleren, te beoordelen op de mogelijke waarde voor de standaard, te toetsen en eventueel te implementeren.</t>
  </si>
  <si>
    <t>Het nut/noodzaak/voordeel van de standaard wordt actief uitgedragen</t>
  </si>
  <si>
    <t>Er is een herkenbaar merk of label voor de standaard dat consequent wordt gebruikt in alle communicatie en promotie.</t>
  </si>
  <si>
    <t>Draag voordelen van het standaard uit</t>
  </si>
  <si>
    <t>Informatie over de standaard is goed vindbaar op internet.</t>
  </si>
  <si>
    <t>Standaard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</si>
</sst>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413]d\ mmmm\ yyyy;@"/>
  </numFmts>
  <fonts count="44">
    <font>
      <sz val="12"/>
      <color theme="1"/>
      <name val="Calibri"/>
      <family val="2"/>
      <scheme val="minor"/>
    </font>
    <font>
      <b/>
      <sz val="12"/>
      <color theme="0"/>
      <name val="Calibri"/>
      <family val="2"/>
      <scheme val="minor"/>
    </font>
    <font>
      <b/>
      <sz val="12"/>
      <color theme="1"/>
      <name val="Calibri"/>
      <family val="2"/>
      <scheme val="minor"/>
    </font>
    <font>
      <b/>
      <sz val="18"/>
      <color theme="0"/>
      <name val="Calibri"/>
      <family val="2"/>
      <scheme val="minor"/>
    </font>
    <font>
      <sz val="8"/>
      <name val="Calibri"/>
      <family val="2"/>
      <scheme val="minor"/>
    </font>
    <font>
      <sz val="18"/>
      <color theme="0"/>
      <name val="Calibri"/>
      <family val="2"/>
      <scheme val="minor"/>
    </font>
    <font>
      <b/>
      <sz val="12"/>
      <color theme="0"/>
      <name val="Calibri (Hoofdtekst)"/>
    </font>
    <font>
      <sz val="10"/>
      <color theme="0"/>
      <name val="Calibri (Hoofdtekst)"/>
    </font>
    <font>
      <sz val="12"/>
      <color rgb="FF52ADF0"/>
      <name val="Calibri"/>
      <family val="2"/>
      <scheme val="minor"/>
    </font>
    <font>
      <sz val="10"/>
      <name val="Arial"/>
      <family val="2"/>
    </font>
    <font>
      <b/>
      <sz val="9"/>
      <name val="Verdana"/>
      <family val="2"/>
    </font>
    <font>
      <sz val="9"/>
      <color theme="1"/>
      <name val="Verdana"/>
      <family val="2"/>
    </font>
    <font>
      <sz val="9"/>
      <name val="Verdana"/>
      <family val="2"/>
    </font>
    <font>
      <i/>
      <sz val="9"/>
      <name val="Verdana"/>
      <family val="2"/>
    </font>
    <font>
      <sz val="11"/>
      <name val="Calibri"/>
      <family val="2"/>
      <scheme val="minor"/>
    </font>
    <font>
      <b/>
      <sz val="11"/>
      <name val="Calibri"/>
      <family val="2"/>
      <scheme val="minor"/>
    </font>
    <font>
      <sz val="12"/>
      <color theme="9" tint="-0.249977111117893"/>
      <name val="Calibri"/>
      <family val="2"/>
      <scheme val="minor"/>
    </font>
    <font>
      <sz val="11"/>
      <color indexed="63"/>
      <name val="Calibri"/>
      <family val="2"/>
      <scheme val="minor"/>
    </font>
    <font>
      <sz val="11"/>
      <color theme="2" tint="-0.89999084444715716"/>
      <name val="Calibri"/>
      <family val="2"/>
      <scheme val="minor"/>
    </font>
    <font>
      <sz val="20"/>
      <color theme="0"/>
      <name val="Calibri"/>
      <family val="2"/>
      <scheme val="minor"/>
    </font>
    <font>
      <sz val="16"/>
      <color theme="0"/>
      <name val="Calibri"/>
      <family val="2"/>
      <scheme val="minor"/>
    </font>
    <font>
      <sz val="11"/>
      <color theme="0"/>
      <name val="Calibri"/>
      <family val="2"/>
      <scheme val="minor"/>
    </font>
    <font>
      <sz val="16"/>
      <name val="Calibri"/>
      <family val="2"/>
      <scheme val="minor"/>
    </font>
    <font>
      <sz val="16"/>
      <color indexed="9"/>
      <name val="Calibri"/>
      <family val="2"/>
      <scheme val="minor"/>
    </font>
    <font>
      <sz val="24"/>
      <color theme="0"/>
      <name val="Calibri"/>
      <family val="2"/>
      <scheme val="minor"/>
    </font>
    <font>
      <sz val="20"/>
      <color indexed="9"/>
      <name val="Calibri"/>
      <family val="2"/>
      <scheme val="minor"/>
    </font>
    <font>
      <b/>
      <sz val="18"/>
      <color theme="1"/>
      <name val="Calibri"/>
      <family val="2"/>
      <scheme val="minor"/>
    </font>
    <font>
      <b/>
      <sz val="11"/>
      <color theme="0"/>
      <name val="Calibri"/>
      <family val="2"/>
      <scheme val="minor"/>
    </font>
    <font>
      <b/>
      <sz val="24"/>
      <color theme="0"/>
      <name val="Calibri"/>
      <family val="2"/>
      <scheme val="minor"/>
    </font>
    <font>
      <b/>
      <i/>
      <sz val="11"/>
      <name val="Calibri"/>
      <family val="2"/>
      <scheme val="minor"/>
    </font>
    <font>
      <sz val="24"/>
      <color rgb="FFFFFFFF"/>
      <name val="Calibri"/>
      <family val="2"/>
      <scheme val="minor"/>
    </font>
    <font>
      <sz val="72"/>
      <color indexed="63"/>
      <name val="Calibri"/>
      <family val="2"/>
      <scheme val="minor"/>
    </font>
    <font>
      <b/>
      <sz val="20"/>
      <color theme="0"/>
      <name val="Calibri"/>
      <family val="2"/>
      <scheme val="minor"/>
    </font>
    <font>
      <b/>
      <sz val="16"/>
      <color theme="1"/>
      <name val="Calibri"/>
      <family val="2"/>
      <scheme val="minor"/>
    </font>
    <font>
      <b/>
      <sz val="16"/>
      <color theme="0"/>
      <name val="Calibri"/>
      <family val="2"/>
      <scheme val="minor"/>
    </font>
    <font>
      <b/>
      <sz val="14"/>
      <color theme="0"/>
      <name val="Calibri"/>
      <family val="2"/>
      <scheme val="minor"/>
    </font>
    <font>
      <sz val="12"/>
      <color rgb="FF333333"/>
      <name val="Calibri"/>
      <family val="2"/>
      <scheme val="minor"/>
    </font>
    <font>
      <sz val="12"/>
      <name val="Calibri"/>
      <family val="2"/>
      <scheme val="minor"/>
    </font>
    <font>
      <b/>
      <sz val="12"/>
      <name val="Calibri"/>
      <family val="2"/>
      <scheme val="minor"/>
    </font>
    <font>
      <sz val="12"/>
      <color rgb="FF000000"/>
      <name val="Calibri"/>
      <family val="2"/>
      <scheme val="minor"/>
    </font>
    <font>
      <b/>
      <sz val="9"/>
      <color indexed="81"/>
      <name val="Tahoma"/>
      <family val="2"/>
    </font>
    <font>
      <b/>
      <sz val="12"/>
      <color rgb="FFEBCAD8"/>
      <name val="Calibri"/>
      <family val="2"/>
      <scheme val="minor"/>
    </font>
    <font>
      <sz val="12"/>
      <color rgb="FFEBCAD8"/>
      <name val="Calibri"/>
      <family val="2"/>
      <scheme val="minor"/>
    </font>
    <font>
      <b/>
      <sz val="18"/>
      <color rgb="FFEBCAD8"/>
      <name val="Calibri"/>
      <family val="2"/>
      <scheme val="minor"/>
    </font>
  </fonts>
  <fills count="26">
    <fill>
      <patternFill patternType="none"/>
    </fill>
    <fill>
      <patternFill patternType="gray125"/>
    </fill>
    <fill>
      <patternFill patternType="solid">
        <fgColor rgb="FFE10068"/>
        <bgColor indexed="64"/>
      </patternFill>
    </fill>
    <fill>
      <patternFill patternType="solid">
        <fgColor rgb="FFF09EB2"/>
        <bgColor indexed="64"/>
      </patternFill>
    </fill>
    <fill>
      <patternFill patternType="solid">
        <fgColor rgb="FFE0A600"/>
        <bgColor indexed="64"/>
      </patternFill>
    </fill>
    <fill>
      <patternFill patternType="solid">
        <fgColor rgb="FFF0D190"/>
        <bgColor indexed="64"/>
      </patternFill>
    </fill>
    <fill>
      <patternFill patternType="solid">
        <fgColor rgb="FFEBCAD8"/>
        <bgColor indexed="64"/>
      </patternFill>
    </fill>
    <fill>
      <patternFill patternType="solid">
        <fgColor rgb="FFDAEDD5"/>
        <bgColor indexed="64"/>
      </patternFill>
    </fill>
    <fill>
      <patternFill patternType="solid">
        <fgColor rgb="FF52ADF0"/>
        <bgColor indexed="64"/>
      </patternFill>
    </fill>
    <fill>
      <patternFill patternType="solid">
        <fgColor rgb="FFC7EAFC"/>
        <bgColor indexed="64"/>
      </patternFill>
    </fill>
    <fill>
      <patternFill patternType="solid">
        <fgColor rgb="FFD478A1"/>
        <bgColor indexed="64"/>
      </patternFill>
    </fill>
    <fill>
      <patternFill patternType="solid">
        <fgColor theme="3"/>
        <bgColor indexed="64"/>
      </patternFill>
    </fill>
    <fill>
      <patternFill patternType="solid">
        <fgColor theme="9"/>
        <bgColor indexed="64"/>
      </patternFill>
    </fill>
    <fill>
      <patternFill patternType="solid">
        <fgColor theme="6" tint="-0.24994659260841701"/>
        <bgColor indexed="64"/>
      </patternFill>
    </fill>
    <fill>
      <patternFill patternType="solid">
        <fgColor theme="0"/>
        <bgColor indexed="64"/>
      </patternFill>
    </fill>
    <fill>
      <patternFill patternType="solid">
        <fgColor theme="1" tint="0.249977111117893"/>
        <bgColor indexed="64"/>
      </patternFill>
    </fill>
    <fill>
      <patternFill patternType="solid">
        <fgColor theme="9" tint="-0.249977111117893"/>
        <bgColor indexed="64"/>
      </patternFill>
    </fill>
    <fill>
      <patternFill patternType="solid">
        <fgColor theme="4" tint="0.79998168889431442"/>
        <bgColor indexed="64"/>
      </patternFill>
    </fill>
    <fill>
      <patternFill patternType="solid">
        <fgColor theme="3" tint="-0.249977111117893"/>
        <bgColor indexed="64"/>
      </patternFill>
    </fill>
    <fill>
      <patternFill patternType="solid">
        <fgColor rgb="FF39870A"/>
        <bgColor indexed="64"/>
      </patternFill>
    </fill>
    <fill>
      <patternFill patternType="solid">
        <fgColor theme="4"/>
        <bgColor indexed="64"/>
      </patternFill>
    </fill>
    <fill>
      <patternFill patternType="solid">
        <fgColor rgb="FF92D050"/>
        <bgColor indexed="64"/>
      </patternFill>
    </fill>
    <fill>
      <patternFill patternType="solid">
        <fgColor theme="1"/>
        <bgColor indexed="64"/>
      </patternFill>
    </fill>
    <fill>
      <patternFill patternType="solid">
        <fgColor rgb="FFE8785E"/>
        <bgColor indexed="64"/>
      </patternFill>
    </fill>
    <fill>
      <patternFill patternType="solid">
        <fgColor theme="5" tint="0.39997558519241921"/>
        <bgColor indexed="64"/>
      </patternFill>
    </fill>
    <fill>
      <patternFill patternType="solid">
        <fgColor rgb="FFCCECFF"/>
        <bgColor indexed="64"/>
      </patternFill>
    </fill>
  </fills>
  <borders count="84">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style="medium">
        <color indexed="64"/>
      </right>
      <top style="medium">
        <color indexed="64"/>
      </top>
      <bottom/>
      <diagonal/>
    </border>
    <border>
      <left style="medium">
        <color indexed="64"/>
      </left>
      <right style="hair">
        <color indexed="64"/>
      </right>
      <top style="hair">
        <color indexed="64"/>
      </top>
      <bottom style="hair">
        <color indexed="64"/>
      </bottom>
      <diagonal/>
    </border>
    <border>
      <left style="thin">
        <color indexed="64"/>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style="hair">
        <color indexed="64"/>
      </left>
      <right/>
      <top style="medium">
        <color indexed="64"/>
      </top>
      <bottom style="hair">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top/>
      <bottom style="hair">
        <color indexed="64"/>
      </bottom>
      <diagonal/>
    </border>
    <border>
      <left/>
      <right style="medium">
        <color indexed="64"/>
      </right>
      <top/>
      <bottom/>
      <diagonal/>
    </border>
    <border>
      <left style="medium">
        <color auto="1"/>
      </left>
      <right style="dotted">
        <color auto="1"/>
      </right>
      <top style="medium">
        <color auto="1"/>
      </top>
      <bottom style="dotted">
        <color auto="1"/>
      </bottom>
      <diagonal/>
    </border>
    <border>
      <left style="dotted">
        <color auto="1"/>
      </left>
      <right style="medium">
        <color auto="1"/>
      </right>
      <top style="medium">
        <color auto="1"/>
      </top>
      <bottom style="dotted">
        <color auto="1"/>
      </bottom>
      <diagonal/>
    </border>
    <border>
      <left style="medium">
        <color auto="1"/>
      </left>
      <right style="dotted">
        <color auto="1"/>
      </right>
      <top style="dotted">
        <color auto="1"/>
      </top>
      <bottom style="dotted">
        <color auto="1"/>
      </bottom>
      <diagonal/>
    </border>
    <border>
      <left style="dotted">
        <color auto="1"/>
      </left>
      <right style="medium">
        <color auto="1"/>
      </right>
      <top style="dotted">
        <color auto="1"/>
      </top>
      <bottom style="dotted">
        <color auto="1"/>
      </bottom>
      <diagonal/>
    </border>
    <border>
      <left style="medium">
        <color auto="1"/>
      </left>
      <right style="dotted">
        <color auto="1"/>
      </right>
      <top style="dotted">
        <color auto="1"/>
      </top>
      <bottom style="medium">
        <color auto="1"/>
      </bottom>
      <diagonal/>
    </border>
    <border>
      <left style="dotted">
        <color auto="1"/>
      </left>
      <right style="medium">
        <color auto="1"/>
      </right>
      <top style="dotted">
        <color auto="1"/>
      </top>
      <bottom style="medium">
        <color auto="1"/>
      </bottom>
      <diagonal/>
    </border>
    <border>
      <left style="medium">
        <color auto="1"/>
      </left>
      <right style="dotted">
        <color auto="1"/>
      </right>
      <top/>
      <bottom style="dotted">
        <color auto="1"/>
      </bottom>
      <diagonal/>
    </border>
    <border>
      <left style="dotted">
        <color auto="1"/>
      </left>
      <right style="medium">
        <color auto="1"/>
      </right>
      <top/>
      <bottom style="dotted">
        <color auto="1"/>
      </bottom>
      <diagonal/>
    </border>
    <border>
      <left style="dotted">
        <color auto="1"/>
      </left>
      <right style="medium">
        <color auto="1"/>
      </right>
      <top style="medium">
        <color auto="1"/>
      </top>
      <bottom style="dashed">
        <color auto="1"/>
      </bottom>
      <diagonal/>
    </border>
    <border>
      <left style="medium">
        <color auto="1"/>
      </left>
      <right style="dotted">
        <color auto="1"/>
      </right>
      <top style="dashed">
        <color auto="1"/>
      </top>
      <bottom style="dashed">
        <color auto="1"/>
      </bottom>
      <diagonal/>
    </border>
    <border>
      <left style="dotted">
        <color auto="1"/>
      </left>
      <right style="medium">
        <color auto="1"/>
      </right>
      <top style="dashed">
        <color auto="1"/>
      </top>
      <bottom style="dashed">
        <color auto="1"/>
      </bottom>
      <diagonal/>
    </border>
    <border>
      <left style="medium">
        <color auto="1"/>
      </left>
      <right style="dotted">
        <color auto="1"/>
      </right>
      <top style="dashed">
        <color auto="1"/>
      </top>
      <bottom style="medium">
        <color auto="1"/>
      </bottom>
      <diagonal/>
    </border>
    <border>
      <left style="dotted">
        <color auto="1"/>
      </left>
      <right style="medium">
        <color auto="1"/>
      </right>
      <top style="dashed">
        <color auto="1"/>
      </top>
      <bottom style="medium">
        <color auto="1"/>
      </bottom>
      <diagonal/>
    </border>
    <border>
      <left/>
      <right/>
      <top/>
      <bottom style="thin">
        <color theme="0" tint="-0.14999847407452621"/>
      </bottom>
      <diagonal/>
    </border>
    <border>
      <left style="thin">
        <color theme="6" tint="-0.24994659260841701"/>
      </left>
      <right style="thin">
        <color theme="0" tint="-0.14999847407452621"/>
      </right>
      <top style="thin">
        <color theme="6" tint="-0.24994659260841701"/>
      </top>
      <bottom style="thin">
        <color theme="0" tint="-0.14999847407452621"/>
      </bottom>
      <diagonal/>
    </border>
    <border>
      <left style="thin">
        <color theme="0" tint="-0.14999847407452621"/>
      </left>
      <right style="thin">
        <color theme="0" tint="-0.14999847407452621"/>
      </right>
      <top style="thin">
        <color theme="6" tint="-0.24994659260841701"/>
      </top>
      <bottom style="thin">
        <color theme="0" tint="-0.14999847407452621"/>
      </bottom>
      <diagonal/>
    </border>
    <border>
      <left style="thin">
        <color theme="0" tint="-0.14999847407452621"/>
      </left>
      <right style="thin">
        <color theme="6" tint="-0.24994659260841701"/>
      </right>
      <top style="thin">
        <color theme="6" tint="-0.24994659260841701"/>
      </top>
      <bottom style="thin">
        <color theme="0" tint="-0.14999847407452621"/>
      </bottom>
      <diagonal/>
    </border>
    <border>
      <left style="thin">
        <color theme="6" tint="-0.2499465926084170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6" tint="-0.24994659260841701"/>
      </right>
      <top style="thin">
        <color theme="0" tint="-0.14999847407452621"/>
      </top>
      <bottom style="thin">
        <color theme="0" tint="-0.14999847407452621"/>
      </bottom>
      <diagonal/>
    </border>
    <border>
      <left/>
      <right style="thin">
        <color theme="6" tint="-0.24994659260841701"/>
      </right>
      <top style="thin">
        <color theme="0" tint="-0.14999847407452621"/>
      </top>
      <bottom/>
      <diagonal/>
    </border>
    <border>
      <left/>
      <right style="thin">
        <color theme="6" tint="-0.24994659260841701"/>
      </right>
      <top/>
      <bottom/>
      <diagonal/>
    </border>
    <border>
      <left style="thin">
        <color theme="6" tint="-0.24994659260841701"/>
      </left>
      <right style="thin">
        <color theme="0" tint="-0.14999847407452621"/>
      </right>
      <top style="thin">
        <color theme="0" tint="-0.14999847407452621"/>
      </top>
      <bottom style="thin">
        <color theme="6" tint="-0.24994659260841701"/>
      </bottom>
      <diagonal/>
    </border>
    <border>
      <left style="thin">
        <color theme="0" tint="-0.14999847407452621"/>
      </left>
      <right style="thin">
        <color theme="0" tint="-0.14999847407452621"/>
      </right>
      <top style="thin">
        <color theme="0" tint="-0.14999847407452621"/>
      </top>
      <bottom style="thin">
        <color theme="6" tint="-0.24994659260841701"/>
      </bottom>
      <diagonal/>
    </border>
    <border>
      <left/>
      <right style="thin">
        <color theme="6" tint="-0.24994659260841701"/>
      </right>
      <top style="thin">
        <color theme="0" tint="-0.14999847407452621"/>
      </top>
      <bottom style="thin">
        <color rgb="FF00B050"/>
      </bottom>
      <diagonal/>
    </border>
    <border>
      <left/>
      <right style="thin">
        <color theme="6" tint="-0.24994659260841701"/>
      </right>
      <top/>
      <bottom style="thin">
        <color theme="6" tint="-0.24994659260841701"/>
      </bottom>
      <diagonal/>
    </border>
    <border>
      <left style="medium">
        <color auto="1"/>
      </left>
      <right style="dotted">
        <color auto="1"/>
      </right>
      <top style="medium">
        <color auto="1"/>
      </top>
      <bottom/>
      <diagonal/>
    </border>
    <border>
      <left style="dotted">
        <color auto="1"/>
      </left>
      <right style="dotted">
        <color auto="1"/>
      </right>
      <top style="medium">
        <color auto="1"/>
      </top>
      <bottom/>
      <diagonal/>
    </border>
    <border>
      <left/>
      <right style="medium">
        <color indexed="64"/>
      </right>
      <top style="medium">
        <color indexed="64"/>
      </top>
      <bottom/>
      <diagonal/>
    </border>
    <border>
      <left style="thin">
        <color theme="0" tint="-0.14999847407452621"/>
      </left>
      <right style="thin">
        <color theme="6" tint="-0.24994659260841701"/>
      </right>
      <top style="thin">
        <color theme="6" tint="-0.2499465926084170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theme="6" tint="-0.24994659260841701"/>
      </left>
      <right style="thin">
        <color theme="0" tint="-0.14999847407452621"/>
      </right>
      <top style="thin">
        <color theme="0" tint="-0.14999847407452621"/>
      </top>
      <bottom/>
      <diagonal/>
    </border>
    <border>
      <left style="thin">
        <color theme="0" tint="-0.14999847407452621"/>
      </left>
      <right style="thin">
        <color theme="0" tint="-0.14999847407452621"/>
      </right>
      <top style="thin">
        <color theme="0" tint="-0.14999847407452621"/>
      </top>
      <bottom/>
      <diagonal/>
    </border>
    <border>
      <left style="thin">
        <color indexed="64"/>
      </left>
      <right style="thin">
        <color theme="6" tint="-0.24994659260841701"/>
      </right>
      <top style="thin">
        <color indexed="64"/>
      </top>
      <bottom style="thin">
        <color theme="0" tint="-0.14999847407452621"/>
      </bottom>
      <diagonal/>
    </border>
    <border>
      <left style="thin">
        <color theme="0" tint="-0.14999847407452621"/>
      </left>
      <right style="thin">
        <color theme="6" tint="-0.24994659260841701"/>
      </right>
      <top style="thin">
        <color indexed="64"/>
      </top>
      <bottom style="thin">
        <color theme="0" tint="-0.14999847407452621"/>
      </bottom>
      <diagonal/>
    </border>
    <border>
      <left style="thin">
        <color theme="0" tint="-0.14999847407452621"/>
      </left>
      <right style="thin">
        <color indexed="64"/>
      </right>
      <top style="thin">
        <color indexed="64"/>
      </top>
      <bottom style="thin">
        <color theme="0" tint="-0.149998474074526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rgb="FF7B7B7B"/>
      </right>
      <top style="thin">
        <color rgb="FFD9D9D9"/>
      </top>
      <bottom style="thin">
        <color rgb="FF00B050"/>
      </bottom>
      <diagonal/>
    </border>
    <border>
      <left style="thin">
        <color indexed="64"/>
      </left>
      <right/>
      <top style="thin">
        <color indexed="64"/>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medium">
        <color indexed="64"/>
      </right>
      <top style="medium">
        <color indexed="64"/>
      </top>
      <bottom style="hair">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diagonal/>
    </border>
    <border>
      <left style="hair">
        <color indexed="64"/>
      </left>
      <right/>
      <top style="hair">
        <color indexed="64"/>
      </top>
      <bottom/>
      <diagonal/>
    </border>
    <border>
      <left style="thin">
        <color indexed="64"/>
      </left>
      <right style="medium">
        <color indexed="64"/>
      </right>
      <top style="thin">
        <color indexed="64"/>
      </top>
      <bottom/>
      <diagonal/>
    </border>
    <border>
      <left style="medium">
        <color auto="1"/>
      </left>
      <right style="dotted">
        <color auto="1"/>
      </right>
      <top/>
      <bottom/>
      <diagonal/>
    </border>
    <border>
      <left style="dotted">
        <color auto="1"/>
      </left>
      <right style="medium">
        <color auto="1"/>
      </right>
      <top/>
      <bottom/>
      <diagonal/>
    </border>
    <border>
      <left/>
      <right/>
      <top style="medium">
        <color indexed="64"/>
      </top>
      <bottom style="medium">
        <color indexed="64"/>
      </bottom>
      <diagonal/>
    </border>
    <border>
      <left style="medium">
        <color indexed="64"/>
      </left>
      <right style="hair">
        <color indexed="64"/>
      </right>
      <top style="hair">
        <color indexed="64"/>
      </top>
      <bottom/>
      <diagonal/>
    </border>
    <border>
      <left style="hair">
        <color indexed="64"/>
      </left>
      <right style="hair">
        <color indexed="64"/>
      </right>
      <top style="hair">
        <color indexed="64"/>
      </top>
      <bottom/>
      <diagonal/>
    </border>
    <border>
      <left/>
      <right/>
      <top/>
      <bottom style="double">
        <color indexed="64"/>
      </bottom>
      <diagonal/>
    </border>
  </borders>
  <cellStyleXfs count="5">
    <xf numFmtId="0" fontId="0" fillId="0" borderId="0"/>
    <xf numFmtId="0" fontId="9" fillId="0" borderId="0"/>
    <xf numFmtId="0" fontId="11" fillId="0" borderId="0"/>
    <xf numFmtId="0" fontId="11" fillId="0" borderId="0"/>
    <xf numFmtId="0" fontId="11" fillId="0" borderId="0"/>
  </cellStyleXfs>
  <cellXfs count="315">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2" fillId="0" borderId="0" xfId="0" applyFont="1" applyAlignment="1">
      <alignment vertical="top" wrapText="1"/>
    </xf>
    <xf numFmtId="0" fontId="0" fillId="0" borderId="0" xfId="0" applyFont="1" applyAlignment="1">
      <alignment vertical="top" wrapText="1"/>
    </xf>
    <xf numFmtId="0" fontId="2" fillId="0" borderId="1" xfId="0" applyFont="1" applyBorder="1" applyAlignment="1">
      <alignment vertical="top" wrapText="1"/>
    </xf>
    <xf numFmtId="0" fontId="0" fillId="0" borderId="3" xfId="0" applyBorder="1" applyAlignment="1">
      <alignment vertical="top" wrapText="1"/>
    </xf>
    <xf numFmtId="0" fontId="0" fillId="0" borderId="2" xfId="0" applyBorder="1" applyAlignment="1">
      <alignment horizontal="center" vertical="top" wrapText="1"/>
    </xf>
    <xf numFmtId="0" fontId="1" fillId="11" borderId="2" xfId="0" applyFont="1" applyFill="1" applyBorder="1" applyAlignment="1">
      <alignment vertical="top" wrapText="1"/>
    </xf>
    <xf numFmtId="0" fontId="1" fillId="11" borderId="2" xfId="0" applyFont="1" applyFill="1" applyBorder="1" applyAlignment="1">
      <alignment horizontal="center" vertical="top" wrapText="1"/>
    </xf>
    <xf numFmtId="0" fontId="0" fillId="0" borderId="2" xfId="0" applyBorder="1" applyAlignment="1">
      <alignment vertical="top" wrapText="1"/>
    </xf>
    <xf numFmtId="0" fontId="2" fillId="0" borderId="0" xfId="0" applyFont="1" applyBorder="1" applyAlignment="1">
      <alignment vertical="top" wrapText="1"/>
    </xf>
    <xf numFmtId="0" fontId="0" fillId="0" borderId="0" xfId="0" applyBorder="1" applyAlignment="1">
      <alignment vertical="top" wrapText="1"/>
    </xf>
    <xf numFmtId="0" fontId="0" fillId="0" borderId="9" xfId="0" applyBorder="1" applyAlignment="1">
      <alignment vertical="top" wrapText="1"/>
    </xf>
    <xf numFmtId="0" fontId="0" fillId="6" borderId="3" xfId="0" applyFont="1" applyFill="1" applyBorder="1" applyAlignment="1">
      <alignment horizontal="center" vertical="top" wrapText="1"/>
    </xf>
    <xf numFmtId="0" fontId="0" fillId="0" borderId="3" xfId="0" applyFont="1" applyBorder="1" applyAlignment="1">
      <alignment vertical="top" wrapText="1"/>
    </xf>
    <xf numFmtId="0" fontId="3" fillId="10" borderId="4" xfId="0" applyFont="1" applyFill="1" applyBorder="1" applyAlignment="1">
      <alignment vertical="top"/>
    </xf>
    <xf numFmtId="0" fontId="3" fillId="10" borderId="5" xfId="0" applyFont="1" applyFill="1" applyBorder="1" applyAlignment="1">
      <alignment vertical="top" wrapText="1"/>
    </xf>
    <xf numFmtId="0" fontId="0" fillId="0" borderId="0" xfId="0" applyFont="1" applyBorder="1" applyAlignment="1">
      <alignment vertical="top" wrapText="1"/>
    </xf>
    <xf numFmtId="0" fontId="3" fillId="4" borderId="14" xfId="0" applyFont="1" applyFill="1" applyBorder="1" applyAlignment="1">
      <alignment vertical="top"/>
    </xf>
    <xf numFmtId="0" fontId="3" fillId="8" borderId="14" xfId="0" applyFont="1" applyFill="1" applyBorder="1" applyAlignment="1">
      <alignment vertical="top"/>
    </xf>
    <xf numFmtId="0" fontId="3" fillId="8" borderId="15" xfId="0" applyFont="1" applyFill="1" applyBorder="1" applyAlignment="1">
      <alignment vertical="top" wrapText="1"/>
    </xf>
    <xf numFmtId="0" fontId="2" fillId="3" borderId="3" xfId="0" applyFont="1" applyFill="1" applyBorder="1" applyAlignment="1">
      <alignment horizontal="left" wrapText="1"/>
    </xf>
    <xf numFmtId="0" fontId="2" fillId="3" borderId="0" xfId="0" applyFont="1" applyFill="1" applyBorder="1" applyAlignment="1">
      <alignment horizontal="left" vertical="top" wrapText="1"/>
    </xf>
    <xf numFmtId="0" fontId="2" fillId="6" borderId="3" xfId="0" applyFont="1" applyFill="1" applyBorder="1" applyAlignment="1">
      <alignment horizontal="left" vertical="top" wrapText="1"/>
    </xf>
    <xf numFmtId="0" fontId="2" fillId="7" borderId="0" xfId="0" applyFont="1" applyFill="1" applyBorder="1" applyAlignment="1">
      <alignment horizontal="left" vertical="top" wrapText="1"/>
    </xf>
    <xf numFmtId="0" fontId="2" fillId="5" borderId="0" xfId="0" applyFont="1" applyFill="1" applyBorder="1" applyAlignment="1">
      <alignment horizontal="left" vertical="top" wrapText="1"/>
    </xf>
    <xf numFmtId="0" fontId="2" fillId="9" borderId="0" xfId="0" applyFont="1" applyFill="1" applyBorder="1" applyAlignment="1">
      <alignment horizontal="left" vertical="top" wrapText="1"/>
    </xf>
    <xf numFmtId="0" fontId="2" fillId="0" borderId="1" xfId="0" applyFont="1" applyFill="1" applyBorder="1" applyAlignment="1">
      <alignment vertical="top" wrapText="1"/>
    </xf>
    <xf numFmtId="0" fontId="10" fillId="0" borderId="0" xfId="1" applyFont="1"/>
    <xf numFmtId="0" fontId="10" fillId="0" borderId="0" xfId="2" applyFont="1"/>
    <xf numFmtId="0" fontId="12" fillId="0" borderId="0" xfId="2" applyFont="1"/>
    <xf numFmtId="0" fontId="12" fillId="0" borderId="0" xfId="1" applyFont="1"/>
    <xf numFmtId="0" fontId="13" fillId="0" borderId="0" xfId="1" applyFont="1" applyAlignment="1">
      <alignment vertical="center"/>
    </xf>
    <xf numFmtId="0" fontId="2" fillId="3" borderId="3" xfId="0" applyFont="1" applyFill="1" applyBorder="1" applyAlignment="1">
      <alignment horizontal="left" vertical="top" wrapText="1"/>
    </xf>
    <xf numFmtId="0" fontId="0" fillId="3" borderId="3" xfId="0" applyFont="1" applyFill="1" applyBorder="1" applyAlignment="1">
      <alignment horizontal="center" vertical="top" wrapText="1"/>
    </xf>
    <xf numFmtId="0" fontId="0" fillId="3" borderId="0" xfId="0" applyFont="1" applyFill="1" applyBorder="1" applyAlignment="1">
      <alignment horizontal="center" vertical="top" wrapText="1"/>
    </xf>
    <xf numFmtId="0" fontId="16" fillId="0" borderId="0" xfId="0" applyFont="1" applyAlignment="1">
      <alignment vertical="top" wrapText="1"/>
    </xf>
    <xf numFmtId="0" fontId="17" fillId="0" borderId="0" xfId="1" applyFont="1"/>
    <xf numFmtId="0" fontId="18" fillId="0" borderId="0" xfId="1" applyFont="1" applyAlignment="1">
      <alignment horizontal="right" vertical="center"/>
    </xf>
    <xf numFmtId="0" fontId="19" fillId="13" borderId="34" xfId="1" applyFont="1" applyFill="1" applyBorder="1" applyAlignment="1" applyProtection="1">
      <alignment horizontal="left" vertical="center" indent="1"/>
      <protection locked="0"/>
    </xf>
    <xf numFmtId="0" fontId="20" fillId="13" borderId="35" xfId="1" applyFont="1" applyFill="1" applyBorder="1" applyAlignment="1" applyProtection="1">
      <alignment horizontal="center" vertical="center" wrapText="1" shrinkToFit="1"/>
      <protection locked="0"/>
    </xf>
    <xf numFmtId="0" fontId="21" fillId="13" borderId="35" xfId="1" applyFont="1" applyFill="1" applyBorder="1" applyAlignment="1" applyProtection="1">
      <alignment horizontal="center" vertical="center" wrapText="1" shrinkToFit="1"/>
      <protection locked="0"/>
    </xf>
    <xf numFmtId="0" fontId="22" fillId="0" borderId="37" xfId="1" applyFont="1" applyBorder="1" applyAlignment="1">
      <alignment horizontal="left" vertical="center" indent="1"/>
    </xf>
    <xf numFmtId="164" fontId="23" fillId="14" borderId="38" xfId="1" applyNumberFormat="1" applyFont="1" applyFill="1" applyBorder="1" applyAlignment="1">
      <alignment horizontal="center" vertical="center" wrapText="1"/>
    </xf>
    <xf numFmtId="164" fontId="24" fillId="0" borderId="39" xfId="1" applyNumberFormat="1" applyFont="1" applyBorder="1" applyAlignment="1">
      <alignment horizontal="center" vertical="center" wrapText="1"/>
    </xf>
    <xf numFmtId="164" fontId="21" fillId="11" borderId="39" xfId="1" applyNumberFormat="1" applyFont="1" applyFill="1" applyBorder="1" applyAlignment="1">
      <alignment horizontal="center" vertical="center" wrapText="1"/>
    </xf>
    <xf numFmtId="0" fontId="25" fillId="15" borderId="42" xfId="1" applyFont="1" applyFill="1" applyBorder="1" applyAlignment="1">
      <alignment horizontal="left" vertical="center" indent="1"/>
    </xf>
    <xf numFmtId="164" fontId="20" fillId="15" borderId="43" xfId="1" applyNumberFormat="1" applyFont="1" applyFill="1" applyBorder="1" applyAlignment="1">
      <alignment horizontal="center" vertical="center" wrapText="1"/>
    </xf>
    <xf numFmtId="164" fontId="20" fillId="16" borderId="43" xfId="1" applyNumberFormat="1" applyFont="1" applyFill="1" applyBorder="1" applyAlignment="1">
      <alignment horizontal="center" vertical="center" wrapText="1"/>
    </xf>
    <xf numFmtId="164" fontId="24" fillId="0" borderId="44" xfId="1" applyNumberFormat="1" applyFont="1" applyBorder="1" applyAlignment="1">
      <alignment horizontal="center" vertical="center" wrapText="1"/>
    </xf>
    <xf numFmtId="164" fontId="21" fillId="15" borderId="39" xfId="1" applyNumberFormat="1" applyFont="1" applyFill="1" applyBorder="1" applyAlignment="1">
      <alignment horizontal="center" vertical="center" wrapText="1"/>
    </xf>
    <xf numFmtId="0" fontId="21" fillId="0" borderId="0" xfId="1" applyFont="1"/>
    <xf numFmtId="0" fontId="3" fillId="14" borderId="16" xfId="0" applyFont="1" applyFill="1" applyBorder="1" applyAlignment="1">
      <alignment horizontal="left" vertical="top" wrapText="1"/>
    </xf>
    <xf numFmtId="0" fontId="3" fillId="14" borderId="17" xfId="0" applyFont="1" applyFill="1" applyBorder="1" applyAlignment="1">
      <alignment horizontal="left" vertical="top" wrapText="1"/>
    </xf>
    <xf numFmtId="0" fontId="5" fillId="14" borderId="18" xfId="0" applyFont="1" applyFill="1" applyBorder="1" applyAlignment="1">
      <alignment horizontal="left" vertical="top" wrapText="1"/>
    </xf>
    <xf numFmtId="0" fontId="3" fillId="14" borderId="18" xfId="0" applyFont="1" applyFill="1" applyBorder="1" applyAlignment="1">
      <alignment horizontal="center" vertical="top" wrapText="1"/>
    </xf>
    <xf numFmtId="0" fontId="0" fillId="14" borderId="0" xfId="0" applyFill="1" applyAlignment="1">
      <alignment vertical="top" wrapText="1"/>
    </xf>
    <xf numFmtId="0" fontId="3" fillId="14" borderId="16" xfId="0" applyFont="1" applyFill="1" applyBorder="1" applyAlignment="1">
      <alignment vertical="top"/>
    </xf>
    <xf numFmtId="0" fontId="3" fillId="14" borderId="17" xfId="0" applyFont="1" applyFill="1" applyBorder="1" applyAlignment="1">
      <alignment vertical="top" wrapText="1"/>
    </xf>
    <xf numFmtId="0" fontId="5" fillId="14" borderId="18" xfId="0" applyFont="1" applyFill="1" applyBorder="1" applyAlignment="1">
      <alignment vertical="top" wrapText="1"/>
    </xf>
    <xf numFmtId="0" fontId="19" fillId="13" borderId="49" xfId="1" applyFont="1" applyFill="1" applyBorder="1" applyAlignment="1" applyProtection="1">
      <alignment horizontal="center" vertical="center"/>
      <protection locked="0"/>
    </xf>
    <xf numFmtId="0" fontId="17" fillId="14" borderId="50" xfId="1" applyFont="1" applyFill="1" applyBorder="1"/>
    <xf numFmtId="0" fontId="17" fillId="14" borderId="51" xfId="1" applyFont="1" applyFill="1" applyBorder="1"/>
    <xf numFmtId="0" fontId="17" fillId="0" borderId="52" xfId="1" applyFont="1" applyBorder="1"/>
    <xf numFmtId="0" fontId="15" fillId="0" borderId="46" xfId="3" applyFont="1" applyBorder="1" applyAlignment="1">
      <alignment horizontal="left" vertical="top" wrapText="1"/>
    </xf>
    <xf numFmtId="0" fontId="14" fillId="0" borderId="0" xfId="4" applyFont="1" applyAlignment="1">
      <alignment vertical="top" wrapText="1"/>
    </xf>
    <xf numFmtId="0" fontId="27" fillId="18" borderId="20" xfId="3" applyFont="1" applyFill="1" applyBorder="1" applyAlignment="1">
      <alignment horizontal="left" vertical="top" wrapText="1"/>
    </xf>
    <xf numFmtId="0" fontId="14" fillId="0" borderId="9" xfId="3" applyFont="1" applyBorder="1" applyAlignment="1">
      <alignment horizontal="left" vertical="top" wrapText="1"/>
    </xf>
    <xf numFmtId="0" fontId="14" fillId="0" borderId="10" xfId="3" applyFont="1" applyBorder="1" applyAlignment="1">
      <alignment horizontal="left" vertical="top" wrapText="1"/>
    </xf>
    <xf numFmtId="0" fontId="14" fillId="0" borderId="0" xfId="3" applyFont="1" applyAlignment="1">
      <alignment horizontal="left" vertical="top" wrapText="1"/>
    </xf>
    <xf numFmtId="0" fontId="14" fillId="0" borderId="24" xfId="3" applyFont="1" applyBorder="1" applyAlignment="1">
      <alignment horizontal="left" vertical="top" wrapText="1"/>
    </xf>
    <xf numFmtId="0" fontId="14" fillId="0" borderId="0" xfId="3" applyFont="1" applyBorder="1" applyAlignment="1">
      <alignment horizontal="left" vertical="top" wrapText="1"/>
    </xf>
    <xf numFmtId="0" fontId="14" fillId="0" borderId="15" xfId="3" applyFont="1" applyBorder="1" applyAlignment="1">
      <alignment horizontal="left" vertical="top" wrapText="1"/>
    </xf>
    <xf numFmtId="0" fontId="14" fillId="0" borderId="22" xfId="3" applyFont="1" applyBorder="1" applyAlignment="1">
      <alignment horizontal="left" vertical="top" wrapText="1"/>
    </xf>
    <xf numFmtId="0" fontId="14" fillId="0" borderId="29" xfId="3" applyFont="1" applyBorder="1" applyAlignment="1">
      <alignment horizontal="left" vertical="top" wrapText="1"/>
    </xf>
    <xf numFmtId="0" fontId="14" fillId="0" borderId="31" xfId="3" applyFont="1" applyBorder="1" applyAlignment="1">
      <alignment horizontal="left" vertical="top" wrapText="1"/>
    </xf>
    <xf numFmtId="0" fontId="15" fillId="0" borderId="0" xfId="4" applyFont="1" applyAlignment="1">
      <alignment horizontal="center" vertical="top" wrapText="1"/>
    </xf>
    <xf numFmtId="0" fontId="14" fillId="0" borderId="0" xfId="4" applyFont="1" applyAlignment="1">
      <alignment horizontal="center" vertical="top" wrapText="1"/>
    </xf>
    <xf numFmtId="0" fontId="14" fillId="0" borderId="54" xfId="4" applyFont="1" applyBorder="1" applyAlignment="1">
      <alignment horizontal="center" vertical="top" wrapText="1"/>
    </xf>
    <xf numFmtId="0" fontId="14" fillId="0" borderId="55" xfId="4" applyFont="1" applyBorder="1" applyAlignment="1">
      <alignment horizontal="center" vertical="top" wrapText="1"/>
    </xf>
    <xf numFmtId="0" fontId="14" fillId="0" borderId="56" xfId="4" applyFont="1" applyBorder="1" applyAlignment="1">
      <alignment horizontal="center" vertical="top" wrapText="1"/>
    </xf>
    <xf numFmtId="0" fontId="14" fillId="0" borderId="0" xfId="4" applyFont="1" applyBorder="1" applyAlignment="1">
      <alignment horizontal="center" vertical="top" wrapText="1"/>
    </xf>
    <xf numFmtId="0" fontId="27" fillId="18" borderId="14" xfId="3" applyFont="1" applyFill="1" applyBorder="1" applyAlignment="1">
      <alignment horizontal="left" vertical="top" wrapText="1"/>
    </xf>
    <xf numFmtId="0" fontId="15" fillId="0" borderId="47" xfId="4" applyFont="1" applyBorder="1" applyAlignment="1">
      <alignment horizontal="center" vertical="top" wrapText="1"/>
    </xf>
    <xf numFmtId="0" fontId="14" fillId="0" borderId="48" xfId="4" applyFont="1" applyBorder="1" applyAlignment="1">
      <alignment horizontal="center" vertical="top" wrapText="1"/>
    </xf>
    <xf numFmtId="0" fontId="14" fillId="0" borderId="19" xfId="4" applyFont="1" applyBorder="1" applyAlignment="1">
      <alignment horizontal="center" vertical="top" wrapText="1"/>
    </xf>
    <xf numFmtId="0" fontId="14" fillId="0" borderId="53" xfId="4" applyFont="1" applyBorder="1" applyAlignment="1">
      <alignment horizontal="center" vertical="top" wrapText="1"/>
    </xf>
    <xf numFmtId="0" fontId="14" fillId="0" borderId="21" xfId="4" applyFont="1" applyBorder="1" applyAlignment="1">
      <alignment horizontal="center" vertical="top" wrapText="1"/>
    </xf>
    <xf numFmtId="0" fontId="14" fillId="0" borderId="27" xfId="4" applyFont="1" applyBorder="1" applyAlignment="1">
      <alignment horizontal="center" vertical="top" wrapText="1"/>
    </xf>
    <xf numFmtId="0" fontId="14" fillId="0" borderId="25" xfId="4" applyFont="1" applyBorder="1" applyAlignment="1">
      <alignment horizontal="center" vertical="top" wrapText="1"/>
    </xf>
    <xf numFmtId="0" fontId="14" fillId="0" borderId="19" xfId="3" applyFont="1" applyBorder="1" applyAlignment="1">
      <alignment horizontal="center" vertical="top" wrapText="1"/>
    </xf>
    <xf numFmtId="0" fontId="14" fillId="0" borderId="53" xfId="3" applyFont="1" applyBorder="1" applyAlignment="1">
      <alignment horizontal="center" vertical="top" wrapText="1"/>
    </xf>
    <xf numFmtId="0" fontId="14" fillId="0" borderId="15" xfId="4" applyFont="1" applyBorder="1" applyAlignment="1">
      <alignment horizontal="center" vertical="top" wrapText="1"/>
    </xf>
    <xf numFmtId="0" fontId="14" fillId="0" borderId="23" xfId="4" applyFont="1" applyBorder="1" applyAlignment="1">
      <alignment horizontal="center" vertical="top" wrapText="1"/>
    </xf>
    <xf numFmtId="0" fontId="14" fillId="0" borderId="28" xfId="4" applyFont="1" applyBorder="1" applyAlignment="1">
      <alignment horizontal="center" vertical="top" wrapText="1"/>
    </xf>
    <xf numFmtId="0" fontId="14" fillId="0" borderId="30" xfId="4" applyFont="1" applyBorder="1" applyAlignment="1">
      <alignment horizontal="center" vertical="top" wrapText="1"/>
    </xf>
    <xf numFmtId="0" fontId="14" fillId="0" borderId="32" xfId="4" applyFont="1" applyBorder="1" applyAlignment="1">
      <alignment horizontal="center" vertical="top" wrapText="1"/>
    </xf>
    <xf numFmtId="0" fontId="3" fillId="10" borderId="12" xfId="0" applyFont="1" applyFill="1" applyBorder="1" applyAlignment="1">
      <alignment vertical="top" wrapText="1"/>
    </xf>
    <xf numFmtId="0" fontId="3" fillId="14" borderId="18" xfId="0" applyFont="1" applyFill="1" applyBorder="1" applyAlignment="1">
      <alignment vertical="top" wrapText="1"/>
    </xf>
    <xf numFmtId="0" fontId="2" fillId="6" borderId="3" xfId="0" applyFont="1" applyFill="1" applyBorder="1" applyAlignment="1">
      <alignment horizontal="center" vertical="top" wrapText="1"/>
    </xf>
    <xf numFmtId="0" fontId="3" fillId="4" borderId="15" xfId="0" applyFont="1" applyFill="1" applyBorder="1" applyAlignment="1">
      <alignment vertical="top"/>
    </xf>
    <xf numFmtId="0" fontId="22" fillId="0" borderId="57" xfId="1" applyFont="1" applyBorder="1" applyAlignment="1">
      <alignment horizontal="left" vertical="center" indent="1"/>
    </xf>
    <xf numFmtId="164" fontId="23" fillId="14" borderId="58" xfId="1" applyNumberFormat="1" applyFont="1" applyFill="1" applyBorder="1" applyAlignment="1">
      <alignment horizontal="center" vertical="center" wrapText="1"/>
    </xf>
    <xf numFmtId="0" fontId="19" fillId="13" borderId="59" xfId="1" applyFont="1" applyFill="1" applyBorder="1" applyAlignment="1" applyProtection="1">
      <alignment horizontal="center" vertical="center"/>
      <protection locked="0"/>
    </xf>
    <xf numFmtId="0" fontId="19" fillId="13" borderId="60" xfId="1" applyFont="1" applyFill="1" applyBorder="1" applyAlignment="1" applyProtection="1">
      <alignment horizontal="center" vertical="center"/>
      <protection locked="0"/>
    </xf>
    <xf numFmtId="0" fontId="19" fillId="13" borderId="61" xfId="1" applyFont="1" applyFill="1" applyBorder="1" applyAlignment="1" applyProtection="1">
      <alignment horizontal="center" vertical="center"/>
      <protection locked="0"/>
    </xf>
    <xf numFmtId="0" fontId="17" fillId="14" borderId="62" xfId="1" applyFont="1" applyFill="1" applyBorder="1"/>
    <xf numFmtId="0" fontId="17" fillId="14" borderId="0" xfId="1" applyFont="1" applyFill="1" applyBorder="1"/>
    <xf numFmtId="0" fontId="17" fillId="14" borderId="63" xfId="1" applyFont="1" applyFill="1" applyBorder="1"/>
    <xf numFmtId="0" fontId="17" fillId="14" borderId="64" xfId="1" applyFont="1" applyFill="1" applyBorder="1"/>
    <xf numFmtId="0" fontId="17" fillId="14" borderId="65" xfId="1" applyFont="1" applyFill="1" applyBorder="1"/>
    <xf numFmtId="0" fontId="17" fillId="14" borderId="66" xfId="1" applyFont="1" applyFill="1" applyBorder="1"/>
    <xf numFmtId="164" fontId="30" fillId="0" borderId="67" xfId="0" applyNumberFormat="1" applyFont="1" applyBorder="1" applyAlignment="1">
      <alignment horizontal="center" vertical="center" wrapText="1"/>
    </xf>
    <xf numFmtId="0" fontId="28" fillId="19" borderId="0" xfId="1" applyFont="1" applyFill="1" applyAlignment="1">
      <alignment vertical="center"/>
    </xf>
    <xf numFmtId="0" fontId="17" fillId="19" borderId="0" xfId="1" applyFont="1" applyFill="1"/>
    <xf numFmtId="0" fontId="31" fillId="0" borderId="0" xfId="1" applyFont="1"/>
    <xf numFmtId="0" fontId="12" fillId="17" borderId="0" xfId="2" applyFont="1" applyFill="1"/>
    <xf numFmtId="0" fontId="3" fillId="2" borderId="5" xfId="0" applyFont="1" applyFill="1" applyBorder="1" applyAlignment="1">
      <alignment horizontal="left" vertical="top" wrapText="1"/>
    </xf>
    <xf numFmtId="0" fontId="2" fillId="7" borderId="9" xfId="0" applyFont="1" applyFill="1" applyBorder="1" applyAlignment="1">
      <alignment horizontal="center" vertical="top"/>
    </xf>
    <xf numFmtId="0" fontId="2" fillId="7" borderId="0" xfId="0" applyFont="1" applyFill="1" applyBorder="1" applyAlignment="1">
      <alignment horizontal="center" vertical="top"/>
    </xf>
    <xf numFmtId="0" fontId="2" fillId="5" borderId="0" xfId="0" applyFont="1" applyFill="1" applyBorder="1" applyAlignment="1">
      <alignment horizontal="center" vertical="top" wrapText="1"/>
    </xf>
    <xf numFmtId="0" fontId="2" fillId="9" borderId="0" xfId="0" applyFont="1" applyFill="1" applyBorder="1" applyAlignment="1">
      <alignment horizontal="center" vertical="top"/>
    </xf>
    <xf numFmtId="0" fontId="0" fillId="14" borderId="0" xfId="0" applyFill="1"/>
    <xf numFmtId="0" fontId="32" fillId="13" borderId="34" xfId="1" applyFont="1" applyFill="1" applyBorder="1" applyAlignment="1" applyProtection="1">
      <alignment horizontal="left" vertical="center" indent="1"/>
      <protection locked="0"/>
    </xf>
    <xf numFmtId="0" fontId="32" fillId="13" borderId="36" xfId="1" applyFont="1" applyFill="1" applyBorder="1" applyAlignment="1" applyProtection="1">
      <alignment horizontal="center" vertical="center"/>
      <protection locked="0"/>
    </xf>
    <xf numFmtId="0" fontId="32" fillId="13" borderId="60" xfId="1" applyFont="1" applyFill="1" applyBorder="1" applyAlignment="1" applyProtection="1">
      <alignment horizontal="center" vertical="center"/>
      <protection locked="0"/>
    </xf>
    <xf numFmtId="0" fontId="0" fillId="14" borderId="14" xfId="0" applyFill="1" applyBorder="1"/>
    <xf numFmtId="0" fontId="0" fillId="14" borderId="15" xfId="0" applyFill="1" applyBorder="1"/>
    <xf numFmtId="0" fontId="0" fillId="14" borderId="48" xfId="0" applyFill="1" applyBorder="1"/>
    <xf numFmtId="0" fontId="0" fillId="14" borderId="9" xfId="0" applyFill="1" applyBorder="1"/>
    <xf numFmtId="0" fontId="0" fillId="14" borderId="0" xfId="0" applyFill="1" applyBorder="1"/>
    <xf numFmtId="0" fontId="0" fillId="14" borderId="19" xfId="0" applyFill="1" applyBorder="1"/>
    <xf numFmtId="0" fontId="0" fillId="14" borderId="10" xfId="0" applyFill="1" applyBorder="1"/>
    <xf numFmtId="0" fontId="0" fillId="14" borderId="11" xfId="0" applyFill="1" applyBorder="1"/>
    <xf numFmtId="0" fontId="0" fillId="14" borderId="53" xfId="0" applyFill="1" applyBorder="1"/>
    <xf numFmtId="0" fontId="33" fillId="14" borderId="11" xfId="0" applyFont="1" applyFill="1" applyBorder="1"/>
    <xf numFmtId="0" fontId="2" fillId="0" borderId="0" xfId="0" applyFont="1" applyBorder="1" applyAlignment="1">
      <alignment horizontal="left" vertical="top" wrapText="1"/>
    </xf>
    <xf numFmtId="0" fontId="34" fillId="20" borderId="2" xfId="0" applyFont="1" applyFill="1" applyBorder="1" applyAlignment="1">
      <alignment horizontal="left" vertical="top"/>
    </xf>
    <xf numFmtId="0" fontId="0" fillId="0" borderId="3" xfId="0" applyFill="1" applyBorder="1" applyAlignment="1">
      <alignment vertical="top" wrapText="1"/>
    </xf>
    <xf numFmtId="0" fontId="0" fillId="0" borderId="0" xfId="0" applyFill="1" applyBorder="1" applyAlignment="1">
      <alignment vertical="top" wrapText="1"/>
    </xf>
    <xf numFmtId="0" fontId="2" fillId="5" borderId="0" xfId="0" applyFont="1" applyFill="1" applyBorder="1" applyAlignment="1">
      <alignment horizontal="center" vertical="top" wrapText="1"/>
    </xf>
    <xf numFmtId="0" fontId="3" fillId="2" borderId="12" xfId="0" applyFont="1" applyFill="1" applyBorder="1" applyAlignment="1">
      <alignment horizontal="center" vertical="top" wrapText="1"/>
    </xf>
    <xf numFmtId="0" fontId="2" fillId="0" borderId="0" xfId="0" applyFont="1" applyAlignment="1">
      <alignment vertical="top"/>
    </xf>
    <xf numFmtId="0" fontId="0" fillId="0" borderId="1" xfId="0" applyFont="1" applyBorder="1" applyAlignment="1">
      <alignment vertical="top" wrapText="1"/>
    </xf>
    <xf numFmtId="0" fontId="0" fillId="0" borderId="3" xfId="0" applyFont="1" applyBorder="1" applyAlignment="1">
      <alignment horizontal="left" vertical="top" wrapText="1"/>
    </xf>
    <xf numFmtId="0" fontId="37" fillId="0" borderId="0" xfId="0" applyFont="1" applyAlignment="1">
      <alignment vertical="top" wrapText="1"/>
    </xf>
    <xf numFmtId="0" fontId="0" fillId="14" borderId="0" xfId="0" applyFont="1" applyFill="1" applyBorder="1" applyAlignment="1">
      <alignment vertical="top" wrapText="1"/>
    </xf>
    <xf numFmtId="0" fontId="0" fillId="0" borderId="0" xfId="0" applyFont="1" applyFill="1" applyBorder="1" applyAlignment="1">
      <alignment vertical="top" wrapText="1"/>
    </xf>
    <xf numFmtId="0" fontId="38" fillId="0" borderId="0" xfId="0" applyFont="1" applyAlignment="1">
      <alignment vertical="top" wrapText="1"/>
    </xf>
    <xf numFmtId="0" fontId="14" fillId="0" borderId="78" xfId="3" applyFont="1" applyBorder="1" applyAlignment="1">
      <alignment horizontal="left" vertical="top" wrapText="1"/>
    </xf>
    <xf numFmtId="0" fontId="14" fillId="0" borderId="79" xfId="4" applyFont="1" applyBorder="1" applyAlignment="1">
      <alignment horizontal="center" vertical="top" wrapText="1"/>
    </xf>
    <xf numFmtId="0" fontId="14" fillId="0" borderId="80" xfId="4" applyFont="1" applyBorder="1" applyAlignment="1">
      <alignment horizontal="center" vertical="top" wrapText="1"/>
    </xf>
    <xf numFmtId="0" fontId="27" fillId="18" borderId="26" xfId="3" applyFont="1" applyFill="1" applyBorder="1" applyAlignment="1">
      <alignment horizontal="left" vertical="top" wrapText="1"/>
    </xf>
    <xf numFmtId="0" fontId="14" fillId="0" borderId="11" xfId="4" applyFont="1" applyBorder="1" applyAlignment="1">
      <alignment horizontal="center" vertical="top" wrapText="1"/>
    </xf>
    <xf numFmtId="0" fontId="37" fillId="0" borderId="0" xfId="0" applyFont="1" applyBorder="1" applyAlignment="1">
      <alignment vertical="top" wrapText="1"/>
    </xf>
    <xf numFmtId="0" fontId="2" fillId="0" borderId="82" xfId="0" applyFont="1" applyBorder="1" applyAlignment="1">
      <alignment vertical="top" wrapText="1"/>
    </xf>
    <xf numFmtId="0" fontId="0" fillId="0" borderId="76" xfId="0" applyFont="1" applyFill="1" applyBorder="1" applyAlignment="1">
      <alignment vertical="top" wrapText="1"/>
    </xf>
    <xf numFmtId="0" fontId="0" fillId="0" borderId="76" xfId="0" applyFont="1" applyBorder="1" applyAlignment="1">
      <alignment vertical="top" wrapText="1"/>
    </xf>
    <xf numFmtId="0" fontId="2" fillId="0" borderId="65" xfId="0" applyFont="1" applyBorder="1" applyAlignment="1">
      <alignment vertical="top" wrapText="1"/>
    </xf>
    <xf numFmtId="0" fontId="0" fillId="0" borderId="65" xfId="0" applyFont="1" applyBorder="1" applyAlignment="1">
      <alignment vertical="top" wrapText="1"/>
    </xf>
    <xf numFmtId="0" fontId="39" fillId="0" borderId="65" xfId="0" applyFont="1" applyBorder="1" applyAlignment="1">
      <alignment vertical="top"/>
    </xf>
    <xf numFmtId="0" fontId="21" fillId="22" borderId="14" xfId="3" applyFont="1" applyFill="1" applyBorder="1" applyAlignment="1">
      <alignment horizontal="left" vertical="top" wrapText="1"/>
    </xf>
    <xf numFmtId="49" fontId="36" fillId="0" borderId="0" xfId="0" applyNumberFormat="1" applyFont="1" applyAlignment="1">
      <alignment horizontal="left" vertical="top" wrapText="1"/>
    </xf>
    <xf numFmtId="0" fontId="2" fillId="14" borderId="1" xfId="0" applyFont="1" applyFill="1" applyBorder="1" applyAlignment="1">
      <alignment vertical="top" wrapText="1"/>
    </xf>
    <xf numFmtId="0" fontId="0" fillId="3" borderId="7" xfId="0" applyFill="1" applyBorder="1" applyAlignment="1">
      <alignment vertical="top" wrapText="1"/>
    </xf>
    <xf numFmtId="0" fontId="0" fillId="3" borderId="7" xfId="0" applyFont="1" applyFill="1" applyBorder="1" applyAlignment="1">
      <alignment vertical="top" wrapText="1"/>
    </xf>
    <xf numFmtId="0" fontId="0" fillId="3" borderId="9" xfId="0" applyFont="1" applyFill="1" applyBorder="1" applyAlignment="1">
      <alignment vertical="top" wrapText="1"/>
    </xf>
    <xf numFmtId="0" fontId="0" fillId="3" borderId="9" xfId="0" applyFill="1" applyBorder="1" applyAlignment="1">
      <alignment vertical="top" wrapText="1"/>
    </xf>
    <xf numFmtId="0" fontId="0" fillId="3" borderId="0" xfId="0" applyFill="1" applyBorder="1" applyAlignment="1">
      <alignment vertical="top" wrapText="1"/>
    </xf>
    <xf numFmtId="0" fontId="0" fillId="3" borderId="0" xfId="0" applyFill="1" applyAlignment="1">
      <alignment vertical="top" wrapText="1"/>
    </xf>
    <xf numFmtId="0" fontId="3" fillId="23" borderId="14" xfId="0" applyFont="1" applyFill="1" applyBorder="1" applyAlignment="1">
      <alignment vertical="top"/>
    </xf>
    <xf numFmtId="0" fontId="3" fillId="23" borderId="15" xfId="0" applyFont="1" applyFill="1" applyBorder="1" applyAlignment="1">
      <alignment vertical="top" wrapText="1"/>
    </xf>
    <xf numFmtId="0" fontId="2" fillId="24" borderId="0" xfId="0" applyFont="1" applyFill="1" applyBorder="1" applyAlignment="1">
      <alignment horizontal="center" vertical="top"/>
    </xf>
    <xf numFmtId="0" fontId="2" fillId="24" borderId="0" xfId="0" applyFont="1" applyFill="1" applyBorder="1" applyAlignment="1">
      <alignment horizontal="left" vertical="top" wrapText="1"/>
    </xf>
    <xf numFmtId="0" fontId="0" fillId="24" borderId="0" xfId="0" applyFill="1" applyBorder="1" applyAlignment="1">
      <alignment vertical="top"/>
    </xf>
    <xf numFmtId="0" fontId="0" fillId="24" borderId="9" xfId="0" applyFill="1" applyBorder="1" applyAlignment="1">
      <alignment vertical="top"/>
    </xf>
    <xf numFmtId="0" fontId="2" fillId="24" borderId="3" xfId="0" applyFont="1" applyFill="1" applyBorder="1" applyAlignment="1">
      <alignment horizontal="center" vertical="top"/>
    </xf>
    <xf numFmtId="0" fontId="2" fillId="24" borderId="3" xfId="0" applyFont="1" applyFill="1" applyBorder="1" applyAlignment="1">
      <alignment horizontal="left" vertical="top" wrapText="1"/>
    </xf>
    <xf numFmtId="0" fontId="0" fillId="24" borderId="7" xfId="0" applyFont="1" applyFill="1" applyBorder="1" applyAlignment="1">
      <alignment horizontal="left" vertical="top"/>
    </xf>
    <xf numFmtId="0" fontId="0" fillId="24" borderId="81" xfId="0" applyFill="1" applyBorder="1" applyAlignment="1">
      <alignment vertical="top"/>
    </xf>
    <xf numFmtId="0" fontId="0" fillId="24" borderId="65" xfId="0" applyFill="1" applyBorder="1" applyAlignment="1">
      <alignment vertical="top"/>
    </xf>
    <xf numFmtId="0" fontId="2" fillId="0" borderId="83" xfId="0" applyFont="1" applyBorder="1" applyAlignment="1">
      <alignment vertical="top" wrapText="1"/>
    </xf>
    <xf numFmtId="0" fontId="0" fillId="0" borderId="83" xfId="0" applyFont="1" applyBorder="1" applyAlignment="1">
      <alignment vertical="top" wrapText="1"/>
    </xf>
    <xf numFmtId="0" fontId="0" fillId="0" borderId="83" xfId="0" applyBorder="1" applyAlignment="1">
      <alignment vertical="top" wrapText="1"/>
    </xf>
    <xf numFmtId="0" fontId="3" fillId="2" borderId="0" xfId="0" applyFont="1" applyFill="1" applyBorder="1" applyAlignment="1" applyProtection="1">
      <alignment horizontal="center" vertical="top" wrapText="1"/>
      <protection locked="0"/>
    </xf>
    <xf numFmtId="0" fontId="1" fillId="2" borderId="48" xfId="0" applyFont="1" applyFill="1" applyBorder="1" applyAlignment="1" applyProtection="1">
      <alignment horizontal="center" vertical="top" wrapText="1"/>
      <protection locked="0"/>
    </xf>
    <xf numFmtId="0" fontId="3" fillId="2" borderId="70" xfId="0" applyFont="1" applyFill="1" applyBorder="1" applyAlignment="1" applyProtection="1">
      <alignment horizontal="center" vertical="top" wrapText="1"/>
      <protection locked="0"/>
    </xf>
    <xf numFmtId="0" fontId="26" fillId="0" borderId="73" xfId="0" applyFont="1" applyFill="1" applyBorder="1" applyAlignment="1" applyProtection="1">
      <alignment horizontal="center" vertical="top" wrapText="1"/>
      <protection locked="0"/>
    </xf>
    <xf numFmtId="0" fontId="1" fillId="14" borderId="0" xfId="0" applyFont="1" applyFill="1" applyBorder="1" applyAlignment="1" applyProtection="1">
      <alignment horizontal="center" vertical="top" wrapText="1"/>
      <protection locked="0"/>
    </xf>
    <xf numFmtId="0" fontId="3" fillId="14" borderId="69" xfId="0" applyFont="1" applyFill="1" applyBorder="1" applyAlignment="1" applyProtection="1">
      <alignment horizontal="center" vertical="top" wrapText="1"/>
      <protection locked="0"/>
    </xf>
    <xf numFmtId="0" fontId="26" fillId="21" borderId="74" xfId="0" applyFont="1" applyFill="1" applyBorder="1" applyAlignment="1" applyProtection="1">
      <alignment horizontal="center" vertical="top" wrapText="1"/>
      <protection locked="0"/>
    </xf>
    <xf numFmtId="0" fontId="0" fillId="3" borderId="71" xfId="0" applyFont="1" applyFill="1" applyBorder="1" applyAlignment="1" applyProtection="1">
      <alignment horizontal="center" vertical="top" wrapText="1"/>
      <protection locked="0"/>
    </xf>
    <xf numFmtId="0" fontId="0" fillId="3" borderId="69" xfId="0" applyFont="1" applyFill="1" applyBorder="1" applyAlignment="1" applyProtection="1">
      <alignment horizontal="center" vertical="top" wrapText="1"/>
      <protection locked="0"/>
    </xf>
    <xf numFmtId="0" fontId="14" fillId="0" borderId="74" xfId="3" applyFont="1" applyFill="1" applyBorder="1" applyAlignment="1" applyProtection="1">
      <alignment vertical="top" wrapText="1"/>
      <protection locked="0"/>
    </xf>
    <xf numFmtId="0" fontId="0" fillId="0" borderId="71" xfId="0" applyBorder="1" applyAlignment="1" applyProtection="1">
      <alignment horizontal="center" vertical="top" wrapText="1"/>
      <protection locked="0"/>
    </xf>
    <xf numFmtId="0" fontId="0" fillId="0" borderId="3" xfId="0" applyFill="1" applyBorder="1" applyAlignment="1" applyProtection="1">
      <alignment vertical="top" wrapText="1"/>
      <protection locked="0"/>
    </xf>
    <xf numFmtId="0" fontId="0" fillId="0" borderId="74" xfId="0" applyFill="1" applyBorder="1" applyAlignment="1" applyProtection="1">
      <alignment vertical="top" wrapText="1"/>
      <protection locked="0"/>
    </xf>
    <xf numFmtId="0" fontId="0" fillId="0" borderId="3" xfId="0" applyFont="1" applyFill="1" applyBorder="1" applyAlignment="1" applyProtection="1">
      <alignment vertical="top" wrapText="1"/>
      <protection locked="0"/>
    </xf>
    <xf numFmtId="0" fontId="16" fillId="0" borderId="74" xfId="0" applyFont="1" applyFill="1" applyBorder="1" applyAlignment="1" applyProtection="1">
      <alignment vertical="top" wrapText="1"/>
      <protection locked="0"/>
    </xf>
    <xf numFmtId="0" fontId="16" fillId="0" borderId="71" xfId="0" applyFont="1" applyBorder="1" applyAlignment="1" applyProtection="1">
      <alignment horizontal="center" vertical="top" wrapText="1"/>
      <protection locked="0"/>
    </xf>
    <xf numFmtId="0" fontId="0" fillId="3" borderId="3" xfId="0" applyFill="1" applyBorder="1" applyAlignment="1" applyProtection="1">
      <alignment vertical="top" wrapText="1"/>
      <protection locked="0"/>
    </xf>
    <xf numFmtId="0" fontId="8" fillId="0" borderId="74" xfId="0" applyFont="1" applyFill="1" applyBorder="1" applyAlignment="1" applyProtection="1">
      <alignment vertical="top" wrapText="1"/>
      <protection locked="0"/>
    </xf>
    <xf numFmtId="0" fontId="0" fillId="0" borderId="0" xfId="0" applyBorder="1" applyAlignment="1" applyProtection="1">
      <alignment horizontal="center" vertical="top" wrapText="1"/>
      <protection locked="0"/>
    </xf>
    <xf numFmtId="0" fontId="26" fillId="21" borderId="2" xfId="0" applyFont="1" applyFill="1" applyBorder="1" applyAlignment="1" applyProtection="1">
      <alignment horizontal="center" vertical="center" wrapText="1"/>
      <protection locked="0"/>
    </xf>
    <xf numFmtId="0" fontId="0" fillId="0" borderId="50" xfId="0" applyFill="1" applyBorder="1" applyAlignment="1" applyProtection="1">
      <alignment vertical="top" wrapText="1"/>
      <protection locked="0"/>
    </xf>
    <xf numFmtId="0" fontId="0" fillId="0" borderId="75" xfId="0" applyBorder="1" applyAlignment="1" applyProtection="1">
      <alignment horizontal="center" vertical="top" wrapText="1"/>
      <protection locked="0"/>
    </xf>
    <xf numFmtId="0" fontId="0" fillId="0" borderId="76" xfId="0" applyBorder="1" applyAlignment="1" applyProtection="1">
      <alignment vertical="top" wrapText="1"/>
      <protection locked="0"/>
    </xf>
    <xf numFmtId="0" fontId="8" fillId="0" borderId="51" xfId="0" applyFont="1" applyFill="1" applyBorder="1" applyAlignment="1" applyProtection="1">
      <alignment vertical="top" wrapText="1"/>
      <protection locked="0"/>
    </xf>
    <xf numFmtId="0" fontId="0" fillId="0" borderId="0" xfId="0" applyFont="1" applyFill="1" applyBorder="1" applyAlignment="1" applyProtection="1">
      <alignment vertical="top" wrapText="1"/>
      <protection locked="0"/>
    </xf>
    <xf numFmtId="0" fontId="0" fillId="0" borderId="51" xfId="0" applyFill="1" applyBorder="1" applyAlignment="1" applyProtection="1">
      <alignment vertical="top" wrapText="1"/>
      <protection locked="0"/>
    </xf>
    <xf numFmtId="0" fontId="0" fillId="0" borderId="0" xfId="0" applyAlignment="1" applyProtection="1">
      <alignment horizontal="center" vertical="top" wrapText="1"/>
      <protection locked="0"/>
    </xf>
    <xf numFmtId="0" fontId="0" fillId="0" borderId="0" xfId="0" applyAlignment="1" applyProtection="1">
      <alignment vertical="top" wrapText="1"/>
      <protection locked="0"/>
    </xf>
    <xf numFmtId="0" fontId="0" fillId="0" borderId="0" xfId="0" applyFill="1" applyBorder="1" applyAlignment="1" applyProtection="1">
      <alignment vertical="top" wrapText="1"/>
      <protection locked="0"/>
    </xf>
    <xf numFmtId="0" fontId="3" fillId="10" borderId="15" xfId="0" applyFont="1" applyFill="1" applyBorder="1" applyAlignment="1" applyProtection="1">
      <alignment horizontal="center" vertical="top" wrapText="1"/>
      <protection locked="0"/>
    </xf>
    <xf numFmtId="0" fontId="6" fillId="10" borderId="13" xfId="0" applyFont="1" applyFill="1" applyBorder="1" applyAlignment="1" applyProtection="1">
      <alignment horizontal="center" vertical="top" wrapText="1"/>
      <protection locked="0"/>
    </xf>
    <xf numFmtId="0" fontId="3" fillId="10" borderId="48" xfId="0" applyFont="1" applyFill="1" applyBorder="1" applyAlignment="1" applyProtection="1">
      <alignment horizontal="center" vertical="top" wrapText="1"/>
      <protection locked="0"/>
    </xf>
    <xf numFmtId="0" fontId="26" fillId="6" borderId="0" xfId="0" applyFont="1" applyFill="1" applyBorder="1" applyAlignment="1" applyProtection="1">
      <alignment horizontal="center" vertical="top" wrapText="1"/>
      <protection locked="0"/>
    </xf>
    <xf numFmtId="0" fontId="6" fillId="14" borderId="64" xfId="0" applyFont="1" applyFill="1" applyBorder="1" applyAlignment="1" applyProtection="1">
      <alignment horizontal="center" vertical="top" wrapText="1"/>
      <protection locked="0"/>
    </xf>
    <xf numFmtId="0" fontId="0" fillId="14" borderId="69" xfId="0" applyFill="1" applyBorder="1" applyAlignment="1" applyProtection="1">
      <alignment vertical="top" wrapText="1"/>
      <protection locked="0"/>
    </xf>
    <xf numFmtId="0" fontId="26" fillId="21" borderId="0" xfId="0" applyFont="1" applyFill="1" applyBorder="1" applyAlignment="1" applyProtection="1">
      <alignment horizontal="center" vertical="top" wrapText="1"/>
      <protection locked="0"/>
    </xf>
    <xf numFmtId="0" fontId="2" fillId="6" borderId="68" xfId="0" applyFont="1" applyFill="1" applyBorder="1" applyAlignment="1" applyProtection="1">
      <alignment horizontal="center" vertical="top" wrapText="1"/>
      <protection locked="0"/>
    </xf>
    <xf numFmtId="0" fontId="0" fillId="6" borderId="69" xfId="0" applyFill="1" applyBorder="1" applyAlignment="1" applyProtection="1">
      <alignment vertical="top" wrapText="1"/>
      <protection locked="0"/>
    </xf>
    <xf numFmtId="0" fontId="0" fillId="0" borderId="0" xfId="0" applyFont="1" applyBorder="1" applyAlignment="1" applyProtection="1">
      <alignment horizontal="center" vertical="top" wrapText="1"/>
      <protection locked="0"/>
    </xf>
    <xf numFmtId="0" fontId="0" fillId="0" borderId="68" xfId="0" applyBorder="1" applyAlignment="1" applyProtection="1">
      <alignment horizontal="center" vertical="top" wrapText="1"/>
      <protection locked="0"/>
    </xf>
    <xf numFmtId="0" fontId="0" fillId="0" borderId="3" xfId="0" applyBorder="1" applyAlignment="1" applyProtection="1">
      <alignment vertical="top" wrapText="1"/>
      <protection locked="0"/>
    </xf>
    <xf numFmtId="0" fontId="0" fillId="6" borderId="3" xfId="0" applyFill="1" applyBorder="1" applyAlignment="1" applyProtection="1">
      <alignment vertical="top" wrapText="1"/>
      <protection locked="0"/>
    </xf>
    <xf numFmtId="0" fontId="8" fillId="0" borderId="0" xfId="0" applyFont="1" applyBorder="1" applyAlignment="1" applyProtection="1">
      <alignment horizontal="center" vertical="top" wrapText="1"/>
      <protection locked="0"/>
    </xf>
    <xf numFmtId="0" fontId="2" fillId="12" borderId="68" xfId="0" applyFont="1" applyFill="1" applyBorder="1" applyAlignment="1" applyProtection="1">
      <alignment horizontal="center" vertical="top" wrapText="1"/>
      <protection locked="0"/>
    </xf>
    <xf numFmtId="0" fontId="0" fillId="0" borderId="0" xfId="0" applyFont="1" applyAlignment="1" applyProtection="1">
      <alignment horizontal="center" vertical="top" wrapText="1"/>
      <protection locked="0"/>
    </xf>
    <xf numFmtId="0" fontId="0" fillId="0" borderId="0" xfId="0" applyFont="1" applyAlignment="1" applyProtection="1">
      <alignment vertical="top" wrapText="1"/>
      <protection locked="0"/>
    </xf>
    <xf numFmtId="0" fontId="3" fillId="23" borderId="15" xfId="0" applyFont="1" applyFill="1" applyBorder="1" applyAlignment="1" applyProtection="1">
      <alignment horizontal="center" vertical="top" wrapText="1"/>
      <protection locked="0"/>
    </xf>
    <xf numFmtId="0" fontId="6" fillId="23" borderId="13" xfId="0" applyFont="1" applyFill="1" applyBorder="1" applyAlignment="1" applyProtection="1">
      <alignment horizontal="center" vertical="top" wrapText="1"/>
      <protection locked="0"/>
    </xf>
    <xf numFmtId="0" fontId="3" fillId="23" borderId="48" xfId="0" applyFont="1" applyFill="1" applyBorder="1" applyAlignment="1" applyProtection="1">
      <alignment horizontal="center" vertical="top" wrapText="1"/>
      <protection locked="0"/>
    </xf>
    <xf numFmtId="0" fontId="26" fillId="7" borderId="0" xfId="0" applyFont="1" applyFill="1" applyBorder="1" applyAlignment="1" applyProtection="1">
      <alignment horizontal="center" vertical="top" wrapText="1"/>
      <protection locked="0"/>
    </xf>
    <xf numFmtId="0" fontId="2" fillId="7" borderId="8" xfId="0" applyFont="1" applyFill="1" applyBorder="1" applyAlignment="1" applyProtection="1">
      <alignment horizontal="center" vertical="top"/>
      <protection locked="0"/>
    </xf>
    <xf numFmtId="0" fontId="0" fillId="0" borderId="19" xfId="0" applyBorder="1" applyAlignment="1" applyProtection="1">
      <alignment vertical="top" wrapText="1"/>
      <protection locked="0"/>
    </xf>
    <xf numFmtId="0" fontId="2" fillId="24" borderId="8" xfId="0" applyFont="1" applyFill="1" applyBorder="1" applyAlignment="1" applyProtection="1">
      <alignment horizontal="center" vertical="top"/>
      <protection locked="0"/>
    </xf>
    <xf numFmtId="0" fontId="0" fillId="24" borderId="0" xfId="0" applyFill="1" applyBorder="1" applyAlignment="1" applyProtection="1">
      <alignment vertical="top"/>
      <protection locked="0"/>
    </xf>
    <xf numFmtId="0" fontId="0" fillId="0" borderId="8" xfId="0" applyBorder="1" applyAlignment="1" applyProtection="1">
      <alignment horizontal="center" vertical="top"/>
      <protection locked="0"/>
    </xf>
    <xf numFmtId="0" fontId="0" fillId="0" borderId="0" xfId="0" applyFill="1" applyBorder="1" applyAlignment="1" applyProtection="1">
      <alignment vertical="top"/>
      <protection locked="0"/>
    </xf>
    <xf numFmtId="0" fontId="0" fillId="0" borderId="77" xfId="0" applyBorder="1" applyAlignment="1" applyProtection="1">
      <alignment horizontal="center" vertical="top"/>
      <protection locked="0"/>
    </xf>
    <xf numFmtId="0" fontId="0" fillId="0" borderId="0" xfId="0" applyBorder="1" applyAlignment="1" applyProtection="1">
      <alignment horizontal="center" vertical="top"/>
      <protection locked="0"/>
    </xf>
    <xf numFmtId="0" fontId="0" fillId="0" borderId="65" xfId="0" applyBorder="1" applyAlignment="1" applyProtection="1">
      <alignment horizontal="center" vertical="top" wrapText="1"/>
      <protection locked="0"/>
    </xf>
    <xf numFmtId="0" fontId="0" fillId="0" borderId="0" xfId="0" applyAlignment="1" applyProtection="1">
      <alignment horizontal="center" vertical="top"/>
      <protection locked="0"/>
    </xf>
    <xf numFmtId="0" fontId="0" fillId="0" borderId="0" xfId="0" applyFill="1" applyAlignment="1" applyProtection="1">
      <alignment vertical="top"/>
      <protection locked="0"/>
    </xf>
    <xf numFmtId="0" fontId="0" fillId="0" borderId="0" xfId="0" applyAlignment="1" applyProtection="1">
      <alignment vertical="top"/>
      <protection locked="0"/>
    </xf>
    <xf numFmtId="0" fontId="3" fillId="4" borderId="15" xfId="0" applyFont="1" applyFill="1" applyBorder="1" applyAlignment="1" applyProtection="1">
      <alignment horizontal="center" vertical="top"/>
      <protection locked="0"/>
    </xf>
    <xf numFmtId="0" fontId="6" fillId="4" borderId="13" xfId="0" applyFont="1" applyFill="1" applyBorder="1" applyAlignment="1" applyProtection="1">
      <alignment horizontal="center" vertical="top"/>
      <protection locked="0"/>
    </xf>
    <xf numFmtId="0" fontId="3" fillId="4" borderId="48" xfId="0" applyFont="1" applyFill="1" applyBorder="1" applyAlignment="1" applyProtection="1">
      <alignment horizontal="center" vertical="top"/>
      <protection locked="0"/>
    </xf>
    <xf numFmtId="0" fontId="1" fillId="4" borderId="15" xfId="0" applyFont="1" applyFill="1" applyBorder="1" applyAlignment="1" applyProtection="1">
      <alignment horizontal="center" vertical="top"/>
      <protection locked="0"/>
    </xf>
    <xf numFmtId="0" fontId="0" fillId="0" borderId="8" xfId="0" applyBorder="1" applyAlignment="1" applyProtection="1">
      <alignment horizontal="center" vertical="top" wrapText="1"/>
      <protection locked="0"/>
    </xf>
    <xf numFmtId="0" fontId="0" fillId="0" borderId="2" xfId="0" applyBorder="1" applyAlignment="1" applyProtection="1">
      <alignment vertical="top" wrapText="1"/>
      <protection locked="0"/>
    </xf>
    <xf numFmtId="0" fontId="33" fillId="21" borderId="0" xfId="0" applyFont="1" applyFill="1" applyBorder="1" applyAlignment="1" applyProtection="1">
      <alignment horizontal="center" vertical="top" wrapText="1"/>
      <protection locked="0"/>
    </xf>
    <xf numFmtId="0" fontId="2" fillId="5" borderId="8" xfId="0" applyFont="1" applyFill="1" applyBorder="1" applyAlignment="1" applyProtection="1">
      <alignment horizontal="center" vertical="top" wrapText="1"/>
      <protection locked="0"/>
    </xf>
    <xf numFmtId="0" fontId="0" fillId="5" borderId="0" xfId="0" applyFill="1" applyBorder="1" applyAlignment="1" applyProtection="1">
      <alignment vertical="top" wrapText="1"/>
      <protection locked="0"/>
    </xf>
    <xf numFmtId="0" fontId="0" fillId="0" borderId="0" xfId="0" applyBorder="1" applyAlignment="1" applyProtection="1">
      <alignment vertical="top" wrapText="1"/>
      <protection locked="0"/>
    </xf>
    <xf numFmtId="0" fontId="0" fillId="0" borderId="0" xfId="0" applyFont="1" applyBorder="1" applyAlignment="1" applyProtection="1">
      <alignment vertical="top" wrapText="1"/>
      <protection locked="0"/>
    </xf>
    <xf numFmtId="0" fontId="3" fillId="8" borderId="15" xfId="0" applyFont="1" applyFill="1" applyBorder="1" applyAlignment="1" applyProtection="1">
      <alignment horizontal="center" vertical="top" wrapText="1"/>
      <protection locked="0"/>
    </xf>
    <xf numFmtId="0" fontId="6" fillId="8" borderId="13" xfId="0" applyFont="1" applyFill="1" applyBorder="1" applyAlignment="1" applyProtection="1">
      <alignment horizontal="center" vertical="top" wrapText="1"/>
      <protection locked="0"/>
    </xf>
    <xf numFmtId="0" fontId="35" fillId="8" borderId="6" xfId="0" applyFont="1" applyFill="1" applyBorder="1" applyAlignment="1" applyProtection="1">
      <alignment horizontal="center" vertical="top"/>
      <protection locked="0"/>
    </xf>
    <xf numFmtId="0" fontId="2" fillId="21" borderId="0" xfId="0" applyFont="1" applyFill="1" applyBorder="1" applyAlignment="1" applyProtection="1">
      <alignment horizontal="center" vertical="top" wrapText="1"/>
      <protection locked="0"/>
    </xf>
    <xf numFmtId="0" fontId="2" fillId="9" borderId="8" xfId="0" applyFont="1" applyFill="1" applyBorder="1" applyAlignment="1" applyProtection="1">
      <alignment horizontal="center" vertical="top"/>
      <protection locked="0"/>
    </xf>
    <xf numFmtId="0" fontId="0" fillId="0" borderId="2" xfId="0" applyBorder="1" applyAlignment="1" applyProtection="1">
      <alignment vertical="top"/>
      <protection locked="0"/>
    </xf>
    <xf numFmtId="0" fontId="2" fillId="9" borderId="77" xfId="0" applyFont="1" applyFill="1" applyBorder="1" applyAlignment="1" applyProtection="1">
      <alignment horizontal="center" vertical="top"/>
      <protection locked="0"/>
    </xf>
    <xf numFmtId="0" fontId="0" fillId="0" borderId="83" xfId="0" applyBorder="1" applyAlignment="1" applyProtection="1">
      <alignment horizontal="center" vertical="top" wrapText="1"/>
      <protection locked="0"/>
    </xf>
    <xf numFmtId="0" fontId="0" fillId="0" borderId="3" xfId="0" applyBorder="1" applyAlignment="1">
      <alignment horizontal="left" vertical="top" wrapText="1"/>
    </xf>
    <xf numFmtId="0" fontId="38" fillId="0" borderId="0" xfId="0" applyFont="1" applyBorder="1" applyAlignment="1">
      <alignment vertical="top" wrapText="1"/>
    </xf>
    <xf numFmtId="0" fontId="0" fillId="6" borderId="7" xfId="0" applyFont="1" applyFill="1" applyBorder="1" applyAlignment="1">
      <alignment horizontal="center" vertical="top" wrapText="1"/>
    </xf>
    <xf numFmtId="0" fontId="0" fillId="6" borderId="7" xfId="0" applyFill="1" applyBorder="1" applyAlignment="1">
      <alignment vertical="top" wrapText="1"/>
    </xf>
    <xf numFmtId="0" fontId="0" fillId="5" borderId="9" xfId="0" applyFill="1" applyBorder="1" applyAlignment="1">
      <alignment vertical="top" wrapText="1"/>
    </xf>
    <xf numFmtId="0" fontId="0" fillId="5" borderId="0" xfId="0" applyFill="1" applyAlignment="1">
      <alignment vertical="top" wrapText="1"/>
    </xf>
    <xf numFmtId="0" fontId="0" fillId="25" borderId="0" xfId="0" applyFill="1" applyBorder="1" applyAlignment="1">
      <alignment vertical="top"/>
    </xf>
    <xf numFmtId="0" fontId="0" fillId="25" borderId="9" xfId="0" applyFill="1" applyBorder="1" applyAlignment="1">
      <alignment vertical="top"/>
    </xf>
    <xf numFmtId="0" fontId="0" fillId="14" borderId="0" xfId="0" applyFont="1" applyFill="1" applyAlignment="1">
      <alignment vertical="top" wrapText="1"/>
    </xf>
    <xf numFmtId="0" fontId="2" fillId="14" borderId="0" xfId="0" applyFont="1" applyFill="1" applyAlignment="1">
      <alignment vertical="top" wrapText="1"/>
    </xf>
    <xf numFmtId="0" fontId="0" fillId="14" borderId="0" xfId="0" applyFont="1" applyFill="1" applyAlignment="1" applyProtection="1">
      <alignment horizontal="center" vertical="top" wrapText="1"/>
      <protection locked="0"/>
    </xf>
    <xf numFmtId="0" fontId="0" fillId="14" borderId="0" xfId="0" applyFont="1" applyFill="1" applyAlignment="1" applyProtection="1">
      <alignment vertical="top" wrapText="1"/>
      <protection locked="0"/>
    </xf>
    <xf numFmtId="0" fontId="41" fillId="6" borderId="3" xfId="0" applyFont="1" applyFill="1" applyBorder="1" applyAlignment="1">
      <alignment horizontal="center" vertical="top" wrapText="1"/>
    </xf>
    <xf numFmtId="0" fontId="42" fillId="6" borderId="3" xfId="0" applyFont="1" applyFill="1" applyBorder="1" applyAlignment="1">
      <alignment horizontal="center" vertical="top" wrapText="1"/>
    </xf>
    <xf numFmtId="0" fontId="43" fillId="6" borderId="0" xfId="0" applyFont="1" applyFill="1" applyBorder="1" applyAlignment="1" applyProtection="1">
      <alignment horizontal="center" vertical="top" wrapText="1"/>
      <protection locked="0"/>
    </xf>
    <xf numFmtId="0" fontId="41" fillId="6" borderId="68" xfId="0" applyFont="1" applyFill="1" applyBorder="1" applyAlignment="1" applyProtection="1">
      <alignment horizontal="center" vertical="top" wrapText="1"/>
      <protection locked="0"/>
    </xf>
    <xf numFmtId="0" fontId="42" fillId="6" borderId="3" xfId="0" applyFont="1" applyFill="1" applyBorder="1" applyAlignment="1" applyProtection="1">
      <alignment vertical="top" wrapText="1"/>
      <protection locked="0"/>
    </xf>
    <xf numFmtId="0" fontId="42" fillId="6" borderId="0" xfId="0" applyFont="1" applyFill="1" applyAlignment="1">
      <alignment vertical="top" wrapText="1"/>
    </xf>
    <xf numFmtId="0" fontId="34" fillId="20" borderId="68" xfId="0" applyFont="1" applyFill="1" applyBorder="1" applyAlignment="1">
      <alignment vertical="top"/>
    </xf>
    <xf numFmtId="0" fontId="34" fillId="20" borderId="71" xfId="0" applyFont="1" applyFill="1" applyBorder="1" applyAlignment="1">
      <alignment vertical="top"/>
    </xf>
    <xf numFmtId="0" fontId="34" fillId="20" borderId="72" xfId="0" applyFont="1" applyFill="1" applyBorder="1" applyAlignment="1">
      <alignment vertical="top"/>
    </xf>
    <xf numFmtId="165" fontId="34" fillId="20" borderId="68" xfId="0" applyNumberFormat="1" applyFont="1" applyFill="1" applyBorder="1" applyAlignment="1">
      <alignment horizontal="left" vertical="top"/>
    </xf>
    <xf numFmtId="165" fontId="34" fillId="20" borderId="71" xfId="0" applyNumberFormat="1" applyFont="1" applyFill="1" applyBorder="1" applyAlignment="1">
      <alignment horizontal="left" vertical="top"/>
    </xf>
    <xf numFmtId="165" fontId="34" fillId="20" borderId="72" xfId="0" applyNumberFormat="1" applyFont="1" applyFill="1" applyBorder="1" applyAlignment="1">
      <alignment horizontal="left" vertical="top"/>
    </xf>
    <xf numFmtId="0" fontId="2" fillId="3" borderId="9" xfId="0" applyFont="1" applyFill="1" applyBorder="1" applyAlignment="1">
      <alignment horizontal="center" vertical="top" wrapText="1"/>
    </xf>
    <xf numFmtId="0" fontId="2" fillId="3" borderId="0" xfId="0" applyFont="1" applyFill="1" applyBorder="1" applyAlignment="1">
      <alignment horizontal="center" vertical="top" wrapText="1"/>
    </xf>
    <xf numFmtId="0" fontId="2" fillId="3" borderId="7"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2" borderId="4" xfId="0" applyFont="1" applyFill="1" applyBorder="1" applyAlignment="1">
      <alignment horizontal="left" vertical="top" wrapText="1"/>
    </xf>
    <xf numFmtId="0" fontId="3" fillId="2" borderId="5" xfId="0" applyFont="1" applyFill="1" applyBorder="1" applyAlignment="1">
      <alignment horizontal="left" vertical="top" wrapText="1"/>
    </xf>
    <xf numFmtId="0" fontId="41" fillId="6" borderId="7" xfId="0" applyFont="1" applyFill="1" applyBorder="1" applyAlignment="1">
      <alignment horizontal="center" vertical="top" wrapText="1"/>
    </xf>
    <xf numFmtId="0" fontId="41" fillId="6" borderId="1" xfId="0" applyFont="1" applyFill="1" applyBorder="1" applyAlignment="1">
      <alignment horizontal="center" vertical="top" wrapText="1"/>
    </xf>
    <xf numFmtId="0" fontId="2" fillId="6" borderId="7"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7" borderId="9" xfId="0" applyFont="1" applyFill="1" applyBorder="1" applyAlignment="1">
      <alignment horizontal="center" vertical="top"/>
    </xf>
    <xf numFmtId="0" fontId="2" fillId="7" borderId="0" xfId="0" applyFont="1" applyFill="1" applyBorder="1" applyAlignment="1">
      <alignment horizontal="center" vertical="top"/>
    </xf>
    <xf numFmtId="0" fontId="2" fillId="24" borderId="9" xfId="0" applyFont="1" applyFill="1" applyBorder="1" applyAlignment="1">
      <alignment horizontal="center" vertical="top"/>
    </xf>
    <xf numFmtId="0" fontId="2" fillId="24" borderId="0" xfId="0" applyFont="1" applyFill="1" applyBorder="1" applyAlignment="1">
      <alignment horizontal="center" vertical="top"/>
    </xf>
    <xf numFmtId="0" fontId="2" fillId="24" borderId="7" xfId="0" applyFont="1" applyFill="1" applyBorder="1" applyAlignment="1">
      <alignment horizontal="center" vertical="top"/>
    </xf>
    <xf numFmtId="0" fontId="2" fillId="24" borderId="1" xfId="0" applyFont="1" applyFill="1" applyBorder="1" applyAlignment="1">
      <alignment horizontal="center" vertical="top"/>
    </xf>
    <xf numFmtId="0" fontId="2" fillId="5" borderId="9" xfId="0" applyFont="1" applyFill="1" applyBorder="1" applyAlignment="1">
      <alignment horizontal="center" vertical="top" wrapText="1"/>
    </xf>
    <xf numFmtId="0" fontId="2" fillId="5" borderId="0" xfId="0" applyFont="1" applyFill="1" applyBorder="1" applyAlignment="1">
      <alignment horizontal="center" vertical="top" wrapText="1"/>
    </xf>
    <xf numFmtId="0" fontId="2" fillId="9" borderId="9" xfId="0" applyFont="1" applyFill="1" applyBorder="1" applyAlignment="1">
      <alignment horizontal="center" vertical="top"/>
    </xf>
    <xf numFmtId="0" fontId="2" fillId="9" borderId="0" xfId="0" applyFont="1" applyFill="1" applyBorder="1" applyAlignment="1">
      <alignment horizontal="center" vertical="top"/>
    </xf>
    <xf numFmtId="0" fontId="18" fillId="19" borderId="33" xfId="1" applyFont="1" applyFill="1" applyBorder="1" applyAlignment="1">
      <alignment horizontal="right" vertical="center"/>
    </xf>
    <xf numFmtId="0" fontId="17" fillId="0" borderId="40" xfId="1" applyFont="1" applyBorder="1" applyAlignment="1">
      <alignment horizontal="center"/>
    </xf>
    <xf numFmtId="0" fontId="17" fillId="0" borderId="41" xfId="1" applyFont="1" applyBorder="1" applyAlignment="1">
      <alignment horizontal="center"/>
    </xf>
    <xf numFmtId="0" fontId="17" fillId="0" borderId="45" xfId="1" applyFont="1" applyBorder="1" applyAlignment="1">
      <alignment horizontal="center"/>
    </xf>
  </cellXfs>
  <cellStyles count="5">
    <cellStyle name="Standaard" xfId="0" builtinId="0"/>
    <cellStyle name="Standaard 2" xfId="1" xr:uid="{00000000-0005-0000-0000-000001000000}"/>
    <cellStyle name="Standaard 6" xfId="3" xr:uid="{00000000-0005-0000-0000-000002000000}"/>
    <cellStyle name="Standaard 7" xfId="2" xr:uid="{00000000-0005-0000-0000-000003000000}"/>
    <cellStyle name="Standaard 8" xfId="4" xr:uid="{00000000-0005-0000-0000-000004000000}"/>
  </cellStyles>
  <dxfs count="12">
    <dxf>
      <font>
        <color theme="0"/>
      </font>
      <fill>
        <patternFill patternType="solid">
          <fgColor indexed="64"/>
          <bgColor theme="4" tint="0.39994506668294322"/>
        </patternFill>
      </fill>
    </dxf>
    <dxf>
      <font>
        <color theme="0"/>
      </font>
      <fill>
        <patternFill patternType="solid">
          <fgColor indexed="64"/>
          <bgColor theme="3" tint="0.59996337778862885"/>
        </patternFill>
      </fill>
    </dxf>
    <dxf>
      <font>
        <color theme="0"/>
      </font>
      <fill>
        <patternFill patternType="solid">
          <fgColor indexed="64"/>
          <bgColor theme="3" tint="0.39994506668294322"/>
        </patternFill>
      </fill>
    </dxf>
    <dxf>
      <font>
        <color theme="0"/>
      </font>
      <fill>
        <patternFill patternType="solid">
          <fgColor indexed="64"/>
          <bgColor theme="4" tint="0.39994506668294322"/>
        </patternFill>
      </fill>
    </dxf>
    <dxf>
      <font>
        <color theme="0"/>
      </font>
      <fill>
        <patternFill patternType="solid">
          <fgColor indexed="64"/>
          <bgColor theme="3" tint="0.59996337778862885"/>
        </patternFill>
      </fill>
    </dxf>
    <dxf>
      <font>
        <color theme="0"/>
      </font>
      <fill>
        <patternFill patternType="solid">
          <fgColor indexed="64"/>
          <bgColor theme="3" tint="0.39994506668294322"/>
        </patternFill>
      </fill>
    </dxf>
    <dxf>
      <font>
        <color theme="0"/>
      </font>
      <fill>
        <patternFill patternType="solid">
          <fgColor indexed="64"/>
          <bgColor theme="4" tint="0.39994506668294322"/>
        </patternFill>
      </fill>
    </dxf>
    <dxf>
      <font>
        <color theme="0"/>
      </font>
      <fill>
        <patternFill patternType="solid">
          <fgColor indexed="64"/>
          <bgColor theme="3" tint="0.59996337778862885"/>
        </patternFill>
      </fill>
    </dxf>
    <dxf>
      <font>
        <color theme="0"/>
      </font>
      <fill>
        <patternFill patternType="solid">
          <fgColor indexed="64"/>
          <bgColor theme="3" tint="0.39994506668294322"/>
        </patternFill>
      </fill>
    </dxf>
    <dxf>
      <font>
        <color theme="0"/>
      </font>
      <fill>
        <patternFill patternType="solid">
          <fgColor indexed="64"/>
          <bgColor theme="4" tint="0.39994506668294322"/>
        </patternFill>
      </fill>
    </dxf>
    <dxf>
      <font>
        <color theme="0"/>
      </font>
      <fill>
        <patternFill patternType="solid">
          <fgColor indexed="64"/>
          <bgColor theme="3" tint="0.59996337778862885"/>
        </patternFill>
      </fill>
    </dxf>
    <dxf>
      <font>
        <color theme="0"/>
      </font>
      <fill>
        <patternFill patternType="solid">
          <fgColor indexed="64"/>
          <bgColor theme="3" tint="0.39994506668294322"/>
        </patternFill>
      </fill>
    </dxf>
  </dxfs>
  <tableStyles count="0" defaultTableStyle="TableStyleMedium2" defaultPivotStyle="PivotStyleLight16"/>
  <colors>
    <mruColors>
      <color rgb="FFEBCAD8"/>
      <color rgb="FFF0D190"/>
      <color rgb="FFCCECFF"/>
      <color rgb="FFE8785E"/>
      <color rgb="FFF09EB2"/>
      <color rgb="FF80E4CC"/>
      <color rgb="FF52ADF0"/>
      <color rgb="FFE0A600"/>
      <color rgb="FF43B649"/>
      <color rgb="FFD478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5387075394379243"/>
          <c:y val="0.22673857775529369"/>
          <c:w val="0.61175179792300705"/>
          <c:h val="0.79816900245959899"/>
        </c:manualLayout>
      </c:layout>
      <c:radarChart>
        <c:radarStyle val="marker"/>
        <c:varyColors val="0"/>
        <c:ser>
          <c:idx val="1"/>
          <c:order val="0"/>
          <c:cat>
            <c:strRef>
              <c:f>Resultaten!$B$4:$B$7</c:f>
              <c:strCache>
                <c:ptCount val="4"/>
                <c:pt idx="0">
                  <c:v>Governance</c:v>
                </c:pt>
                <c:pt idx="1">
                  <c:v>Visie</c:v>
                </c:pt>
                <c:pt idx="2">
                  <c:v>Business Case</c:v>
                </c:pt>
                <c:pt idx="3">
                  <c:v>Financiën</c:v>
                </c:pt>
              </c:strCache>
            </c:strRef>
          </c:cat>
          <c:val>
            <c:numRef>
              <c:f>Resultaten!$C$4:$C$7</c:f>
              <c:numCache>
                <c:formatCode>0.0</c:formatCode>
                <c:ptCount val="4"/>
                <c:pt idx="0">
                  <c:v>0</c:v>
                </c:pt>
                <c:pt idx="1">
                  <c:v>0</c:v>
                </c:pt>
                <c:pt idx="2">
                  <c:v>0</c:v>
                </c:pt>
                <c:pt idx="3">
                  <c:v>0</c:v>
                </c:pt>
              </c:numCache>
            </c:numRef>
          </c:val>
          <c:extLst>
            <c:ext xmlns:c16="http://schemas.microsoft.com/office/drawing/2014/chart" uri="{C3380CC4-5D6E-409C-BE32-E72D297353CC}">
              <c16:uniqueId val="{00000000-C15B-5247-A8C5-95BAB3097557}"/>
            </c:ext>
          </c:extLst>
        </c:ser>
        <c:ser>
          <c:idx val="0"/>
          <c:order val="1"/>
          <c:cat>
            <c:strRef>
              <c:f>Resultaten!$B$4:$B$7</c:f>
              <c:strCache>
                <c:ptCount val="4"/>
                <c:pt idx="0">
                  <c:v>Governance</c:v>
                </c:pt>
                <c:pt idx="1">
                  <c:v>Visie</c:v>
                </c:pt>
                <c:pt idx="2">
                  <c:v>Business Case</c:v>
                </c:pt>
                <c:pt idx="3">
                  <c:v>Financiën</c:v>
                </c:pt>
              </c:strCache>
            </c:strRef>
          </c:cat>
          <c:val>
            <c:numRef>
              <c:f>Resultaten!$D$4:$D$7</c:f>
              <c:numCache>
                <c:formatCode>0.0</c:formatCode>
                <c:ptCount val="4"/>
                <c:pt idx="0">
                  <c:v>5</c:v>
                </c:pt>
                <c:pt idx="1">
                  <c:v>5</c:v>
                </c:pt>
                <c:pt idx="2">
                  <c:v>5</c:v>
                </c:pt>
                <c:pt idx="3">
                  <c:v>5</c:v>
                </c:pt>
              </c:numCache>
            </c:numRef>
          </c:val>
          <c:extLst>
            <c:ext xmlns:c16="http://schemas.microsoft.com/office/drawing/2014/chart" uri="{C3380CC4-5D6E-409C-BE32-E72D297353CC}">
              <c16:uniqueId val="{00000001-C15B-5247-A8C5-95BAB3097557}"/>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numFmt formatCode="General" sourceLinked="1"/>
        <c:majorTickMark val="out"/>
        <c:minorTickMark val="none"/>
        <c:tickLblPos val="nextTo"/>
        <c:txPr>
          <a:bodyPr rot="0" vert="horz"/>
          <a:lstStyle/>
          <a:p>
            <a:pPr>
              <a:defRPr sz="1400"/>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numFmt formatCode="0.0" sourceLinked="1"/>
        <c:majorTickMark val="cross"/>
        <c:minorTickMark val="none"/>
        <c:tickLblPos val="nextTo"/>
        <c:txPr>
          <a:bodyPr rot="0" vert="horz"/>
          <a:lstStyle/>
          <a:p>
            <a:pPr>
              <a:defRPr/>
            </a:pPr>
            <a:endParaRPr lang="nl-NL"/>
          </a:p>
        </c:txPr>
        <c:crossAx val="210550784"/>
        <c:crosses val="autoZero"/>
        <c:crossBetween val="between"/>
        <c:majorUnit val="1"/>
        <c:minorUnit val="0.5"/>
      </c:valAx>
    </c:plotArea>
    <c:plotVisOnly val="1"/>
    <c:dispBlanksAs val="gap"/>
    <c:showDLblsOverMax val="0"/>
  </c:chart>
  <c:spPr>
    <a:noFill/>
    <a:ln>
      <a:noFill/>
    </a:ln>
  </c:spPr>
  <c:printSettings>
    <c:headerFooter alignWithMargins="0"/>
    <c:pageMargins b="1" l="0.75000000000000078" r="0.75000000000000078" t="1" header="0.5" footer="0.5"/>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99142958635702"/>
          <c:y val="0.26304111646843442"/>
          <c:w val="0.61175179792300705"/>
          <c:h val="0.79816900245959899"/>
        </c:manualLayout>
      </c:layout>
      <c:radarChart>
        <c:radarStyle val="marker"/>
        <c:varyColors val="0"/>
        <c:ser>
          <c:idx val="1"/>
          <c:order val="0"/>
          <c:cat>
            <c:strRef>
              <c:f>Resultaten!$B$11:$B$14</c:f>
              <c:strCache>
                <c:ptCount val="4"/>
                <c:pt idx="0">
                  <c:v>Werkgroepen</c:v>
                </c:pt>
                <c:pt idx="1">
                  <c:v>Adoptie &amp; Erkenning</c:v>
                </c:pt>
                <c:pt idx="2">
                  <c:v>Architectuur</c:v>
                </c:pt>
                <c:pt idx="3">
                  <c:v>Roadmapping</c:v>
                </c:pt>
              </c:strCache>
            </c:strRef>
          </c:cat>
          <c:val>
            <c:numRef>
              <c:f>Resultaten!$C$11:$C$14</c:f>
              <c:numCache>
                <c:formatCode>0.0</c:formatCode>
                <c:ptCount val="4"/>
                <c:pt idx="0">
                  <c:v>0</c:v>
                </c:pt>
                <c:pt idx="1">
                  <c:v>0</c:v>
                </c:pt>
                <c:pt idx="2">
                  <c:v>0</c:v>
                </c:pt>
                <c:pt idx="3">
                  <c:v>0</c:v>
                </c:pt>
              </c:numCache>
            </c:numRef>
          </c:val>
          <c:extLst>
            <c:ext xmlns:c16="http://schemas.microsoft.com/office/drawing/2014/chart" uri="{C3380CC4-5D6E-409C-BE32-E72D297353CC}">
              <c16:uniqueId val="{00000000-C79F-744D-ADB5-61CE03A5A21C}"/>
            </c:ext>
          </c:extLst>
        </c:ser>
        <c:ser>
          <c:idx val="0"/>
          <c:order val="1"/>
          <c:cat>
            <c:strRef>
              <c:f>Resultaten!$B$11:$B$14</c:f>
              <c:strCache>
                <c:ptCount val="4"/>
                <c:pt idx="0">
                  <c:v>Werkgroepen</c:v>
                </c:pt>
                <c:pt idx="1">
                  <c:v>Adoptie &amp; Erkenning</c:v>
                </c:pt>
                <c:pt idx="2">
                  <c:v>Architectuur</c:v>
                </c:pt>
                <c:pt idx="3">
                  <c:v>Roadmapping</c:v>
                </c:pt>
              </c:strCache>
            </c:strRef>
          </c:cat>
          <c:val>
            <c:numRef>
              <c:f>Resultaten!$D$11:$D$14</c:f>
              <c:numCache>
                <c:formatCode>0.0</c:formatCode>
                <c:ptCount val="4"/>
                <c:pt idx="0">
                  <c:v>5</c:v>
                </c:pt>
                <c:pt idx="1">
                  <c:v>5</c:v>
                </c:pt>
                <c:pt idx="2">
                  <c:v>5</c:v>
                </c:pt>
                <c:pt idx="3">
                  <c:v>5</c:v>
                </c:pt>
              </c:numCache>
            </c:numRef>
          </c:val>
          <c:extLst>
            <c:ext xmlns:c16="http://schemas.microsoft.com/office/drawing/2014/chart" uri="{C3380CC4-5D6E-409C-BE32-E72D297353CC}">
              <c16:uniqueId val="{00000001-C79F-744D-ADB5-61CE03A5A21C}"/>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99142958635702"/>
          <c:y val="0.26304111646843442"/>
          <c:w val="0.61175179792300705"/>
          <c:h val="0.79816900245959899"/>
        </c:manualLayout>
      </c:layout>
      <c:radarChart>
        <c:radarStyle val="marker"/>
        <c:varyColors val="0"/>
        <c:ser>
          <c:idx val="1"/>
          <c:order val="0"/>
          <c:cat>
            <c:strRef>
              <c:f>Resultaten!$B$18:$B$21</c:f>
              <c:strCache>
                <c:ptCount val="4"/>
                <c:pt idx="0">
                  <c:v>Wensen &amp; eisen</c:v>
                </c:pt>
                <c:pt idx="1">
                  <c:v>Ontwikkeling</c:v>
                </c:pt>
                <c:pt idx="2">
                  <c:v>Uitvoering</c:v>
                </c:pt>
                <c:pt idx="3">
                  <c:v>Documentatie</c:v>
                </c:pt>
              </c:strCache>
            </c:strRef>
          </c:cat>
          <c:val>
            <c:numRef>
              <c:f>Resultaten!$C$18:$C$21</c:f>
              <c:numCache>
                <c:formatCode>0.0</c:formatCode>
                <c:ptCount val="4"/>
                <c:pt idx="0">
                  <c:v>0</c:v>
                </c:pt>
                <c:pt idx="1">
                  <c:v>0</c:v>
                </c:pt>
                <c:pt idx="2">
                  <c:v>0</c:v>
                </c:pt>
                <c:pt idx="3">
                  <c:v>0</c:v>
                </c:pt>
              </c:numCache>
            </c:numRef>
          </c:val>
          <c:extLst>
            <c:ext xmlns:c16="http://schemas.microsoft.com/office/drawing/2014/chart" uri="{C3380CC4-5D6E-409C-BE32-E72D297353CC}">
              <c16:uniqueId val="{00000001-1149-404A-8198-A47FE99C0EEC}"/>
            </c:ext>
          </c:extLst>
        </c:ser>
        <c:ser>
          <c:idx val="0"/>
          <c:order val="1"/>
          <c:cat>
            <c:strRef>
              <c:f>Resultaten!$B$18:$B$21</c:f>
              <c:strCache>
                <c:ptCount val="4"/>
                <c:pt idx="0">
                  <c:v>Wensen &amp; eisen</c:v>
                </c:pt>
                <c:pt idx="1">
                  <c:v>Ontwikkeling</c:v>
                </c:pt>
                <c:pt idx="2">
                  <c:v>Uitvoering</c:v>
                </c:pt>
                <c:pt idx="3">
                  <c:v>Documentatie</c:v>
                </c:pt>
              </c:strCache>
            </c:strRef>
          </c:cat>
          <c:val>
            <c:numRef>
              <c:f>Resultaten!$D$18:$D$21</c:f>
              <c:numCache>
                <c:formatCode>0.0</c:formatCode>
                <c:ptCount val="4"/>
                <c:pt idx="0">
                  <c:v>5</c:v>
                </c:pt>
                <c:pt idx="1">
                  <c:v>5</c:v>
                </c:pt>
                <c:pt idx="2">
                  <c:v>5</c:v>
                </c:pt>
                <c:pt idx="3">
                  <c:v>5</c:v>
                </c:pt>
              </c:numCache>
            </c:numRef>
          </c:val>
          <c:extLst>
            <c:ext xmlns:c16="http://schemas.microsoft.com/office/drawing/2014/chart" uri="{C3380CC4-5D6E-409C-BE32-E72D297353CC}">
              <c16:uniqueId val="{00000000-0B37-45A1-8142-09C847CED0F0}"/>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799142958635702"/>
          <c:y val="0.26304111646843442"/>
          <c:w val="0.61175179792300705"/>
          <c:h val="0.79816900245959899"/>
        </c:manualLayout>
      </c:layout>
      <c:radarChart>
        <c:radarStyle val="marker"/>
        <c:varyColors val="0"/>
        <c:ser>
          <c:idx val="1"/>
          <c:order val="0"/>
          <c:cat>
            <c:strRef>
              <c:f>Resultaten!$B$25:$B$29</c:f>
              <c:strCache>
                <c:ptCount val="5"/>
                <c:pt idx="0">
                  <c:v>Opleiding</c:v>
                </c:pt>
                <c:pt idx="1">
                  <c:v>Helpdesk</c:v>
                </c:pt>
                <c:pt idx="2">
                  <c:v>Module Ontwikkeling</c:v>
                </c:pt>
                <c:pt idx="3">
                  <c:v>Pilot/vernieuwing</c:v>
                </c:pt>
                <c:pt idx="4">
                  <c:v>Validatie &amp; Certificatie</c:v>
                </c:pt>
              </c:strCache>
            </c:strRef>
          </c:cat>
          <c:val>
            <c:numRef>
              <c:f>Resultaten!$C$25:$C$29</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2-CA58-8945-BC33-AD462BD97711}"/>
            </c:ext>
          </c:extLst>
        </c:ser>
        <c:ser>
          <c:idx val="0"/>
          <c:order val="1"/>
          <c:cat>
            <c:strRef>
              <c:f>Resultaten!$B$25:$B$29</c:f>
              <c:strCache>
                <c:ptCount val="5"/>
                <c:pt idx="0">
                  <c:v>Opleiding</c:v>
                </c:pt>
                <c:pt idx="1">
                  <c:v>Helpdesk</c:v>
                </c:pt>
                <c:pt idx="2">
                  <c:v>Module Ontwikkeling</c:v>
                </c:pt>
                <c:pt idx="3">
                  <c:v>Pilot/vernieuwing</c:v>
                </c:pt>
                <c:pt idx="4">
                  <c:v>Validatie &amp; Certificatie</c:v>
                </c:pt>
              </c:strCache>
            </c:strRef>
          </c:cat>
          <c:val>
            <c:numRef>
              <c:f>Resultaten!$D$25:$D$29</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3-CA58-8945-BC33-AD462BD97711}"/>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9322591119409042"/>
          <c:y val="0.16243129091622169"/>
          <c:w val="0.38543404497118272"/>
          <c:h val="0.71622801460162311"/>
        </c:manualLayout>
      </c:layout>
      <c:radarChart>
        <c:radarStyle val="marker"/>
        <c:varyColors val="0"/>
        <c:ser>
          <c:idx val="1"/>
          <c:order val="0"/>
          <c:dPt>
            <c:idx val="2"/>
            <c:bubble3D val="0"/>
            <c:extLst>
              <c:ext xmlns:c16="http://schemas.microsoft.com/office/drawing/2014/chart" uri="{C3380CC4-5D6E-409C-BE32-E72D297353CC}">
                <c16:uniqueId val="{00000000-BFD8-BC48-83E0-E4EC93238778}"/>
              </c:ext>
            </c:extLst>
          </c:dPt>
          <c:cat>
            <c:strRef>
              <c:f>Resultaten!$B$33:$B$35</c:f>
              <c:strCache>
                <c:ptCount val="3"/>
                <c:pt idx="0">
                  <c:v>Promotie</c:v>
                </c:pt>
                <c:pt idx="1">
                  <c:v>Publicatie</c:v>
                </c:pt>
                <c:pt idx="2">
                  <c:v>Klachtenafhandeling</c:v>
                </c:pt>
              </c:strCache>
            </c:strRef>
          </c:cat>
          <c:val>
            <c:numRef>
              <c:f>Resultaten!$C$33:$C$35</c:f>
              <c:numCache>
                <c:formatCode>0.0</c:formatCode>
                <c:ptCount val="3"/>
                <c:pt idx="0">
                  <c:v>0</c:v>
                </c:pt>
                <c:pt idx="1">
                  <c:v>0</c:v>
                </c:pt>
                <c:pt idx="2">
                  <c:v>0</c:v>
                </c:pt>
              </c:numCache>
            </c:numRef>
          </c:val>
          <c:extLst>
            <c:ext xmlns:c16="http://schemas.microsoft.com/office/drawing/2014/chart" uri="{C3380CC4-5D6E-409C-BE32-E72D297353CC}">
              <c16:uniqueId val="{00000000-D140-4C41-9CE6-DEBD403E4273}"/>
            </c:ext>
          </c:extLst>
        </c:ser>
        <c:ser>
          <c:idx val="0"/>
          <c:order val="1"/>
          <c:cat>
            <c:strRef>
              <c:f>Resultaten!$B$33:$B$35</c:f>
              <c:strCache>
                <c:ptCount val="3"/>
                <c:pt idx="0">
                  <c:v>Promotie</c:v>
                </c:pt>
                <c:pt idx="1">
                  <c:v>Publicatie</c:v>
                </c:pt>
                <c:pt idx="2">
                  <c:v>Klachtenafhandeling</c:v>
                </c:pt>
              </c:strCache>
            </c:strRef>
          </c:cat>
          <c:val>
            <c:numRef>
              <c:f>Resultaten!$D$33:$D$35</c:f>
              <c:numCache>
                <c:formatCode>0.0</c:formatCode>
                <c:ptCount val="3"/>
                <c:pt idx="0">
                  <c:v>5</c:v>
                </c:pt>
                <c:pt idx="1">
                  <c:v>5</c:v>
                </c:pt>
                <c:pt idx="2">
                  <c:v>5</c:v>
                </c:pt>
              </c:numCache>
            </c:numRef>
          </c:val>
          <c:extLst>
            <c:ext xmlns:c16="http://schemas.microsoft.com/office/drawing/2014/chart" uri="{C3380CC4-5D6E-409C-BE32-E72D297353CC}">
              <c16:uniqueId val="{00000001-D140-4C41-9CE6-DEBD403E4273}"/>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spPr>
            <a:ln w="3175">
              <a:solidFill>
                <a:srgbClr val="808080"/>
              </a:solidFill>
              <a:prstDash val="solid"/>
            </a:ln>
          </c:spPr>
        </c:majorGridlines>
        <c:numFmt formatCode="General" sourceLinked="1"/>
        <c:majorTickMark val="out"/>
        <c:minorTickMark val="none"/>
        <c:tickLblPos val="nextTo"/>
        <c:txPr>
          <a:bodyPr rot="0" vert="horz" anchor="t" anchorCtr="0"/>
          <a:lstStyle/>
          <a:p>
            <a:pPr>
              <a:defRPr sz="1400" b="0" i="0" u="none" strike="noStrike" baseline="0">
                <a:solidFill>
                  <a:schemeClr val="tx1">
                    <a:lumMod val="95000"/>
                    <a:lumOff val="5000"/>
                  </a:schemeClr>
                </a:solidFill>
                <a:latin typeface="+mn-lt"/>
                <a:ea typeface="Arial"/>
                <a:cs typeface="Arial"/>
              </a:defRPr>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spPr>
            <a:ln w="3175">
              <a:solidFill>
                <a:srgbClr val="C0C0C0"/>
              </a:solidFill>
              <a:prstDash val="solid"/>
            </a:ln>
          </c:spPr>
        </c:majorGridlines>
        <c:numFmt formatCode="0.0" sourceLinked="1"/>
        <c:majorTickMark val="cross"/>
        <c:minorTickMark val="none"/>
        <c:tickLblPos val="nextTo"/>
        <c:spPr>
          <a:ln w="3175">
            <a:solidFill>
              <a:srgbClr val="808080"/>
            </a:solidFill>
            <a:prstDash val="solid"/>
          </a:ln>
        </c:spPr>
        <c:txPr>
          <a:bodyPr rot="0" vert="horz"/>
          <a:lstStyle/>
          <a:p>
            <a:pPr>
              <a:defRPr sz="900" b="0" i="0" u="none" strike="noStrike" baseline="0">
                <a:solidFill>
                  <a:schemeClr val="bg1">
                    <a:lumMod val="50000"/>
                  </a:schemeClr>
                </a:solidFill>
                <a:latin typeface="Verdana"/>
                <a:ea typeface="Verdana"/>
                <a:cs typeface="Verdana"/>
              </a:defRPr>
            </a:pPr>
            <a:endParaRPr lang="nl-NL"/>
          </a:p>
        </c:txPr>
        <c:crossAx val="210550784"/>
        <c:crosses val="autoZero"/>
        <c:crossBetween val="between"/>
        <c:majorUnit val="1"/>
        <c:minorUnit val="0.5"/>
      </c:valAx>
      <c:spPr>
        <a:noFill/>
        <a:ln w="25400">
          <a:noFill/>
        </a:ln>
      </c:spPr>
    </c:plotArea>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nl-NL"/>
    </a:p>
  </c:txPr>
  <c:printSettings>
    <c:headerFooter alignWithMargins="0"/>
    <c:pageMargins b="1" l="0.75000000000000078" r="0.75000000000000078"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nl-NL"/>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4248077226883069"/>
          <c:y val="6.3264935289682203E-2"/>
          <c:w val="0.54776326401649633"/>
          <c:h val="0.8143356530983078"/>
        </c:manualLayout>
      </c:layout>
      <c:radarChart>
        <c:radarStyle val="marker"/>
        <c:varyColors val="0"/>
        <c:ser>
          <c:idx val="1"/>
          <c:order val="0"/>
          <c:spPr>
            <a:ln w="38100"/>
          </c:spPr>
          <c:cat>
            <c:strRef>
              <c:f>(Resultaten!$B$3,Resultaten!$B$10,Resultaten!$B$17,Resultaten!$B$24,Resultaten!$B$32)</c:f>
              <c:strCache>
                <c:ptCount val="5"/>
                <c:pt idx="0">
                  <c:v>Strategie</c:v>
                </c:pt>
                <c:pt idx="1">
                  <c:v>Tactiek</c:v>
                </c:pt>
                <c:pt idx="2">
                  <c:v>Operationeel</c:v>
                </c:pt>
                <c:pt idx="3">
                  <c:v>Implementatie Ondersteuning</c:v>
                </c:pt>
                <c:pt idx="4">
                  <c:v>Communicatie</c:v>
                </c:pt>
              </c:strCache>
            </c:strRef>
          </c:cat>
          <c:val>
            <c:numRef>
              <c:f>(Resultaten!$C$8,Resultaten!$C$15,Resultaten!$C$22,Resultaten!$C$30,Resultaten!$C$36)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DC10-AE46-813F-DEA3129C6146}"/>
            </c:ext>
          </c:extLst>
        </c:ser>
        <c:ser>
          <c:idx val="0"/>
          <c:order val="1"/>
          <c:spPr>
            <a:ln w="38100"/>
          </c:spPr>
          <c:cat>
            <c:strRef>
              <c:f>(Resultaten!$B$3,Resultaten!$B$10,Resultaten!$B$17,Resultaten!$B$24,Resultaten!$B$32)</c:f>
              <c:strCache>
                <c:ptCount val="5"/>
                <c:pt idx="0">
                  <c:v>Strategie</c:v>
                </c:pt>
                <c:pt idx="1">
                  <c:v>Tactiek</c:v>
                </c:pt>
                <c:pt idx="2">
                  <c:v>Operationeel</c:v>
                </c:pt>
                <c:pt idx="3">
                  <c:v>Implementatie Ondersteuning</c:v>
                </c:pt>
                <c:pt idx="4">
                  <c:v>Communicatie</c:v>
                </c:pt>
              </c:strCache>
            </c:strRef>
          </c:cat>
          <c:val>
            <c:numRef>
              <c:f>(Resultaten!$D$8,Resultaten!$D$15,Resultaten!$D$22,Resultaten!$D$30,Resultaten!$D$36)</c:f>
              <c:numCache>
                <c:formatCode>0.0</c:formatCode>
                <c:ptCount val="5"/>
                <c:pt idx="0">
                  <c:v>5</c:v>
                </c:pt>
                <c:pt idx="1">
                  <c:v>5</c:v>
                </c:pt>
                <c:pt idx="2">
                  <c:v>5</c:v>
                </c:pt>
                <c:pt idx="3">
                  <c:v>5</c:v>
                </c:pt>
                <c:pt idx="4">
                  <c:v>5</c:v>
                </c:pt>
              </c:numCache>
            </c:numRef>
          </c:val>
          <c:extLst>
            <c:ext xmlns:c16="http://schemas.microsoft.com/office/drawing/2014/chart" uri="{C3380CC4-5D6E-409C-BE32-E72D297353CC}">
              <c16:uniqueId val="{00000001-DC10-AE46-813F-DEA3129C6146}"/>
            </c:ext>
          </c:extLst>
        </c:ser>
        <c:dLbls>
          <c:showLegendKey val="0"/>
          <c:showVal val="0"/>
          <c:showCatName val="0"/>
          <c:showSerName val="0"/>
          <c:showPercent val="0"/>
          <c:showBubbleSize val="0"/>
        </c:dLbls>
        <c:axId val="210550784"/>
        <c:axId val="210561280"/>
      </c:radarChart>
      <c:catAx>
        <c:axId val="210550784"/>
        <c:scaling>
          <c:orientation val="minMax"/>
        </c:scaling>
        <c:delete val="0"/>
        <c:axPos val="b"/>
        <c:majorGridlines/>
        <c:numFmt formatCode="General" sourceLinked="1"/>
        <c:majorTickMark val="out"/>
        <c:minorTickMark val="none"/>
        <c:tickLblPos val="nextTo"/>
        <c:txPr>
          <a:bodyPr rot="0" vert="horz"/>
          <a:lstStyle/>
          <a:p>
            <a:pPr>
              <a:defRPr sz="1800"/>
            </a:pPr>
            <a:endParaRPr lang="nl-NL"/>
          </a:p>
        </c:txPr>
        <c:crossAx val="210561280"/>
        <c:crosses val="autoZero"/>
        <c:auto val="0"/>
        <c:lblAlgn val="ctr"/>
        <c:lblOffset val="100"/>
        <c:noMultiLvlLbl val="0"/>
      </c:catAx>
      <c:valAx>
        <c:axId val="210561280"/>
        <c:scaling>
          <c:orientation val="minMax"/>
          <c:max val="5"/>
          <c:min val="0"/>
        </c:scaling>
        <c:delete val="0"/>
        <c:axPos val="l"/>
        <c:majorGridlines/>
        <c:numFmt formatCode="0.0" sourceLinked="1"/>
        <c:majorTickMark val="cross"/>
        <c:minorTickMark val="none"/>
        <c:tickLblPos val="nextTo"/>
        <c:txPr>
          <a:bodyPr rot="0" vert="horz"/>
          <a:lstStyle/>
          <a:p>
            <a:pPr>
              <a:defRPr/>
            </a:pPr>
            <a:endParaRPr lang="nl-NL"/>
          </a:p>
        </c:txPr>
        <c:crossAx val="210550784"/>
        <c:crosses val="autoZero"/>
        <c:crossBetween val="between"/>
        <c:majorUnit val="1"/>
        <c:minorUnit val="0.5"/>
      </c:valAx>
    </c:plotArea>
    <c:plotVisOnly val="1"/>
    <c:dispBlanksAs val="gap"/>
    <c:showDLblsOverMax val="0"/>
  </c:chart>
  <c:spPr>
    <a:noFill/>
    <a:ln>
      <a:noFill/>
    </a:ln>
  </c:spPr>
  <c:printSettings>
    <c:headerFooter alignWithMargins="0"/>
    <c:pageMargins b="1" l="0.75000000000000078" r="0.75000000000000078" t="1" header="0.5" footer="0.5"/>
    <c:pageSetup/>
  </c:printSettings>
</c:chartSpace>
</file>

<file path=xl/ctrlProps/ctrlProp1.xml><?xml version="1.0" encoding="utf-8"?>
<formControlPr xmlns="http://schemas.microsoft.com/office/spreadsheetml/2009/9/main" objectType="Drop" dropStyle="combo" dx="16" fmlaLink="_output!$B$4" fmlaRange="_invoervelden!$D$20:$D$25" noThreeD="1" sel="6" val="0"/>
</file>

<file path=xl/ctrlProps/ctrlProp2.xml><?xml version="1.0" encoding="utf-8"?>
<formControlPr xmlns="http://schemas.microsoft.com/office/spreadsheetml/2009/9/main" objectType="Drop" dropStyle="combo" dx="16" fmlaLink="_output!$B$5" fmlaRange="_invoervelden!$D$20:$D$25" noThreeD="1" sel="6" val="0"/>
</file>

<file path=xl/ctrlProps/ctrlProp3.xml><?xml version="1.0" encoding="utf-8"?>
<formControlPr xmlns="http://schemas.microsoft.com/office/spreadsheetml/2009/9/main" objectType="Drop" dropStyle="combo" dx="16" fmlaLink="_output!$B$9" fmlaRange="_invoervelden!$D$20:$D$25" noThreeD="1" sel="6" val="0"/>
</file>

<file path=xl/ctrlProps/ctrlProp4.xml><?xml version="1.0" encoding="utf-8"?>
<formControlPr xmlns="http://schemas.microsoft.com/office/spreadsheetml/2009/9/main" objectType="Drop" dropStyle="combo" dx="16" fmlaLink="_output!$B$10" fmlaRange="_invoervelden!$D$20:$D$25" noThreeD="1" sel="6" val="0"/>
</file>

<file path=xl/ctrlProps/ctrlProp5.xml><?xml version="1.0" encoding="utf-8"?>
<formControlPr xmlns="http://schemas.microsoft.com/office/spreadsheetml/2009/9/main" objectType="Drop" dropStyle="combo" dx="16" fmlaLink="_output!$B$11" fmlaRange="_invoervelden!$D$20:$D$25" noThreeD="1" sel="6" val="0"/>
</file>

<file path=xl/ctrlProps/ctrlProp6.xml><?xml version="1.0" encoding="utf-8"?>
<formControlPr xmlns="http://schemas.microsoft.com/office/spreadsheetml/2009/9/main" objectType="Drop" dropStyle="combo" dx="16" fmlaLink="_output!$B$6" fmlaRange="_invoervelden!$D$20:$D$25" noThreeD="1" sel="6" val="0"/>
</file>

<file path=xl/ctrlProps/ctrlProp7.xml><?xml version="1.0" encoding="utf-8"?>
<formControlPr xmlns="http://schemas.microsoft.com/office/spreadsheetml/2009/9/main" objectType="Drop" dropStyle="combo" dx="16" fmlaLink="_output!$B$7" fmlaRange="_invoervelden!$D$20:$D$25" noThreeD="1" sel="6" val="0"/>
</file>

<file path=xl/ctrlProps/ctrlProp8.xml><?xml version="1.0" encoding="utf-8"?>
<formControlPr xmlns="http://schemas.microsoft.com/office/spreadsheetml/2009/9/main" objectType="Drop" dropStyle="combo" dx="16" fmlaLink="_output!$B$8" fmlaRange="_invoervelden!$D$20:$D$25" noThreeD="1" sel="6" val="0"/>
</file>

<file path=xl/ctrlProps/ctrlProp9.xml><?xml version="1.0" encoding="utf-8"?>
<formControlPr xmlns="http://schemas.microsoft.com/office/spreadsheetml/2009/9/main" objectType="Drop" dropStyle="combo" dx="16" fmlaLink="_output!$B$19" fmlaRange="_invoervelden!$D$20:$D$25" noThreeD="1" sel="6" val="0"/>
</file>

<file path=xl/ctrlProps/ctrlProp10.xml><?xml version="1.0" encoding="utf-8"?>
<formControlPr xmlns="http://schemas.microsoft.com/office/spreadsheetml/2009/9/main" objectType="Drop" dropStyle="combo" dx="16" fmlaLink="_output!$B$27" fmlaRange="_invoervelden!$D$13:$D$18" noThreeD="1" sel="6" val="0"/>
</file>

<file path=xl/ctrlProps/ctrlProp11.xml><?xml version="1.0" encoding="utf-8"?>
<formControlPr xmlns="http://schemas.microsoft.com/office/spreadsheetml/2009/9/main" objectType="Drop" dropStyle="combo" dx="16" fmlaLink="_output!$B$32" fmlaRange="_invoervelden!$D$38:$D$43" noThreeD="1" sel="6" val="0"/>
</file>

<file path=xl/ctrlProps/ctrlProp12.xml><?xml version="1.0" encoding="utf-8"?>
<formControlPr xmlns="http://schemas.microsoft.com/office/spreadsheetml/2009/9/main" objectType="Drop" dropStyle="combo" dx="16" fmlaLink="_output!$B$33" fmlaRange="_invoervelden!$D$20:$D$25" noThreeD="1" sel="6" val="0"/>
</file>

<file path=xl/ctrlProps/ctrlProp13.xml><?xml version="1.0" encoding="utf-8"?>
<formControlPr xmlns="http://schemas.microsoft.com/office/spreadsheetml/2009/9/main" objectType="Drop" dropStyle="combo" dx="16" fmlaLink="_output!$B$20" fmlaRange="_invoervelden!$D$13:$D$18" noThreeD="1" sel="6" val="0"/>
</file>

<file path=xl/ctrlProps/ctrlProp14.xml><?xml version="1.0" encoding="utf-8"?>
<formControlPr xmlns="http://schemas.microsoft.com/office/spreadsheetml/2009/9/main" objectType="Drop" dropStyle="combo" dx="16" fmlaLink="_output!$B$3" fmlaRange="_invoervelden!$D$20:$D$25" noThreeD="1" sel="6" val="0"/>
</file>

<file path=xl/ctrlProps/ctrlProp15.xml><?xml version="1.0" encoding="utf-8"?>
<formControlPr xmlns="http://schemas.microsoft.com/office/spreadsheetml/2009/9/main" objectType="Drop" dropStyle="combo" dx="16" fmlaLink="_output!$B$21" fmlaRange="_invoervelden!$D$13:$D$18" noThreeD="1" sel="6" val="0"/>
</file>

<file path=xl/ctrlProps/ctrlProp16.xml><?xml version="1.0" encoding="utf-8"?>
<formControlPr xmlns="http://schemas.microsoft.com/office/spreadsheetml/2009/9/main" objectType="Drop" dropStyle="combo" dx="16" fmlaLink="_output!$B$22" fmlaRange="_invoervelden!$D$13:$D$18" noThreeD="1" sel="6" val="0"/>
</file>

<file path=xl/ctrlProps/ctrlProp17.xml><?xml version="1.0" encoding="utf-8"?>
<formControlPr xmlns="http://schemas.microsoft.com/office/spreadsheetml/2009/9/main" objectType="Drop" dropStyle="combo" dx="16" fmlaLink="_output!$B$34" fmlaRange="_invoervelden!$D$20:$D$25" noThreeD="1" sel="6" val="0"/>
</file>

<file path=xl/ctrlProps/ctrlProp18.xml><?xml version="1.0" encoding="utf-8"?>
<formControlPr xmlns="http://schemas.microsoft.com/office/spreadsheetml/2009/9/main" objectType="Drop" dropStyle="combo" dx="16" fmlaLink="_output!$B$35" fmlaRange="_invoervelden!$D$20:$D$25" noThreeD="1" sel="6" val="0"/>
</file>

<file path=xl/ctrlProps/ctrlProp19.xml><?xml version="1.0" encoding="utf-8"?>
<formControlPr xmlns="http://schemas.microsoft.com/office/spreadsheetml/2009/9/main" objectType="Drop" dropStyle="combo" dx="16" fmlaLink="_output!$B$28" fmlaRange="_invoervelden!$D$20:$D$25" noThreeD="1" sel="6" val="0"/>
</file>

<file path=xl/ctrlProps/ctrlProp20.xml><?xml version="1.0" encoding="utf-8"?>
<formControlPr xmlns="http://schemas.microsoft.com/office/spreadsheetml/2009/9/main" objectType="Drop" dropStyle="combo" dx="16" fmlaLink="_output!$B$29" fmlaRange="_invoervelden!$D$20:$D$25" noThreeD="1" sel="6" val="0"/>
</file>

<file path=xl/ctrlProps/ctrlProp21.xml><?xml version="1.0" encoding="utf-8"?>
<formControlPr xmlns="http://schemas.microsoft.com/office/spreadsheetml/2009/9/main" objectType="Drop" dropStyle="combo" dx="16" fmlaLink="_output!$B$26" fmlaRange="_invoervelden!$D$13:$D$18" noThreeD="1" sel="6" val="0"/>
</file>

<file path=xl/ctrlProps/ctrlProp22.xml><?xml version="1.0" encoding="utf-8"?>
<formControlPr xmlns="http://schemas.microsoft.com/office/spreadsheetml/2009/9/main" objectType="Drop" dropStyle="combo" dx="16" fmlaLink="_output!$B$38" fmlaRange="_invoervelden!$D$13:$D$18" noThreeD="1" sel="6" val="0"/>
</file>

<file path=xl/ctrlProps/ctrlProp23.xml><?xml version="1.0" encoding="utf-8"?>
<formControlPr xmlns="http://schemas.microsoft.com/office/spreadsheetml/2009/9/main" objectType="Drop" dropStyle="combo" dx="16" fmlaLink="_output!$B$39" fmlaRange="_invoervelden!$D$13:$D$18" noThreeD="1" sel="6" val="0"/>
</file>

<file path=xl/ctrlProps/ctrlProp24.xml><?xml version="1.0" encoding="utf-8"?>
<formControlPr xmlns="http://schemas.microsoft.com/office/spreadsheetml/2009/9/main" objectType="Drop" dropStyle="combo" dx="16" fmlaLink="_output!$B$40" fmlaRange="_invoervelden!$D$13:$D$18" noThreeD="1" sel="6" val="0"/>
</file>

<file path=xl/ctrlProps/ctrlProp25.xml><?xml version="1.0" encoding="utf-8"?>
<formControlPr xmlns="http://schemas.microsoft.com/office/spreadsheetml/2009/9/main" objectType="Drop" dropStyle="combo" dx="16" fmlaLink="_output!$B$45" fmlaRange="_invoervelden!$D$13:$D$18" noThreeD="1" sel="6" val="0"/>
</file>

<file path=xl/ctrlProps/ctrlProp26.xml><?xml version="1.0" encoding="utf-8"?>
<formControlPr xmlns="http://schemas.microsoft.com/office/spreadsheetml/2009/9/main" objectType="Drop" dropStyle="combo" dx="16" fmlaLink="_output!$B$46" fmlaRange="_invoervelden!$D$13:$D$18" noThreeD="1" sel="6" val="0"/>
</file>

<file path=xl/ctrlProps/ctrlProp27.xml><?xml version="1.0" encoding="utf-8"?>
<formControlPr xmlns="http://schemas.microsoft.com/office/spreadsheetml/2009/9/main" objectType="Drop" dropStyle="combo" dx="16" fmlaLink="_output!$B$48" fmlaRange="_invoervelden!$D$13:$D$18" noThreeD="1" sel="6" val="0"/>
</file>

<file path=xl/ctrlProps/ctrlProp28.xml><?xml version="1.0" encoding="utf-8"?>
<formControlPr xmlns="http://schemas.microsoft.com/office/spreadsheetml/2009/9/main" objectType="Drop" dropStyle="combo" dx="16" fmlaLink="_output!$B$49" fmlaRange="_invoervelden!$D$13:$D$18" noThreeD="1" sel="6" val="0"/>
</file>

<file path=xl/ctrlProps/ctrlProp29.xml><?xml version="1.0" encoding="utf-8"?>
<formControlPr xmlns="http://schemas.microsoft.com/office/spreadsheetml/2009/9/main" objectType="Drop" dropStyle="combo" dx="16" fmlaLink="_output!$B$52" fmlaRange="_invoervelden!$D$13:$D$18" noThreeD="1" sel="6" val="0"/>
</file>

<file path=xl/ctrlProps/ctrlProp30.xml><?xml version="1.0" encoding="utf-8"?>
<formControlPr xmlns="http://schemas.microsoft.com/office/spreadsheetml/2009/9/main" objectType="Drop" dropStyle="combo" dx="16" fmlaLink="_output!$B$53" fmlaRange="_invoervelden!$D$13:$D$18" noThreeD="1" sel="6" val="0"/>
</file>

<file path=xl/ctrlProps/ctrlProp31.xml><?xml version="1.0" encoding="utf-8"?>
<formControlPr xmlns="http://schemas.microsoft.com/office/spreadsheetml/2009/9/main" objectType="Drop" dropStyle="combo" dx="16" fmlaLink="_output!$B$54" fmlaRange="_invoervelden!$D$13:$D$18" noThreeD="1" sel="6" val="0"/>
</file>

<file path=xl/ctrlProps/ctrlProp32.xml><?xml version="1.0" encoding="utf-8"?>
<formControlPr xmlns="http://schemas.microsoft.com/office/spreadsheetml/2009/9/main" objectType="Drop" dropStyle="combo" dx="16" fmlaLink="_output!$B$55" fmlaRange="_invoervelden!$D$13:$D$18" noThreeD="1" sel="6" val="0"/>
</file>

<file path=xl/ctrlProps/ctrlProp33.xml><?xml version="1.0" encoding="utf-8"?>
<formControlPr xmlns="http://schemas.microsoft.com/office/spreadsheetml/2009/9/main" objectType="Drop" dropStyle="combo" dx="16" fmlaLink="_output!$B$60" fmlaRange="_invoervelden!$D$13:$D$18" noThreeD="1" sel="6" val="0"/>
</file>

<file path=xl/ctrlProps/ctrlProp34.xml><?xml version="1.0" encoding="utf-8"?>
<formControlPr xmlns="http://schemas.microsoft.com/office/spreadsheetml/2009/9/main" objectType="Drop" dropStyle="combo" dx="16" fmlaLink="_output!$B$37" fmlaRange="_invoervelden!$D$13:$D$18" noThreeD="1" sel="6" val="0"/>
</file>

<file path=xl/ctrlProps/ctrlProp35.xml><?xml version="1.0" encoding="utf-8"?>
<formControlPr xmlns="http://schemas.microsoft.com/office/spreadsheetml/2009/9/main" objectType="Drop" dropStyle="combo" dx="16" fmlaLink="_output!$B$47" fmlaRange="_invoervelden!$D$13:$D$18" noThreeD="1" sel="6" val="0"/>
</file>

<file path=xl/ctrlProps/ctrlProp36.xml><?xml version="1.0" encoding="utf-8"?>
<formControlPr xmlns="http://schemas.microsoft.com/office/spreadsheetml/2009/9/main" objectType="Drop" dropStyle="combo" dx="16" fmlaLink="_output!$B$73" fmlaRange="_invoervelden!$D$20:$D$25" noThreeD="1" sel="6" val="0"/>
</file>

<file path=xl/ctrlProps/ctrlProp37.xml><?xml version="1.0" encoding="utf-8"?>
<formControlPr xmlns="http://schemas.microsoft.com/office/spreadsheetml/2009/9/main" objectType="Drop" dropStyle="combo" dx="16" fmlaLink="_output!$B$74" fmlaRange="_invoervelden!$D$20:$D$25" noThreeD="1" sel="6" val="0"/>
</file>

<file path=xl/ctrlProps/ctrlProp38.xml><?xml version="1.0" encoding="utf-8"?>
<formControlPr xmlns="http://schemas.microsoft.com/office/spreadsheetml/2009/9/main" objectType="Drop" dropStyle="combo" dx="16" fmlaLink="_output!$B$79" fmlaRange="_invoervelden!$D$13:$D$18" noThreeD="1" sel="6" val="0"/>
</file>

<file path=xl/ctrlProps/ctrlProp39.xml><?xml version="1.0" encoding="utf-8"?>
<formControlPr xmlns="http://schemas.microsoft.com/office/spreadsheetml/2009/9/main" objectType="Drop" dropStyle="combo" dx="16" fmlaLink="_output!$B$85" fmlaRange="_invoervelden!$D$13:$D$18" noThreeD="1" sel="6" val="0"/>
</file>

<file path=xl/ctrlProps/ctrlProp40.xml><?xml version="1.0" encoding="utf-8"?>
<formControlPr xmlns="http://schemas.microsoft.com/office/spreadsheetml/2009/9/main" objectType="Drop" dropStyle="combo" dx="16" fmlaLink="_output!$B$90" fmlaRange="_invoervelden!$D$20:$D$25" noThreeD="1" sel="6" val="0"/>
</file>

<file path=xl/ctrlProps/ctrlProp41.xml><?xml version="1.0" encoding="utf-8"?>
<formControlPr xmlns="http://schemas.microsoft.com/office/spreadsheetml/2009/9/main" objectType="Drop" dropStyle="combo" dx="16" fmlaLink="_output!$B$93" fmlaRange="_invoervelden!$D$20:$D$25" noThreeD="1" sel="6" val="0"/>
</file>

<file path=xl/ctrlProps/ctrlProp42.xml><?xml version="1.0" encoding="utf-8"?>
<formControlPr xmlns="http://schemas.microsoft.com/office/spreadsheetml/2009/9/main" objectType="Drop" dropStyle="combo" dx="16" fmlaLink="_output!$B$75" fmlaRange="_invoervelden!$D$20:$D$25" noThreeD="1" sel="6" val="0"/>
</file>

<file path=xl/ctrlProps/ctrlProp43.xml><?xml version="1.0" encoding="utf-8"?>
<formControlPr xmlns="http://schemas.microsoft.com/office/spreadsheetml/2009/9/main" objectType="Drop" dropStyle="combo" dx="16" fmlaLink="_output!$B$94" fmlaRange="_invoervelden!$D$20:$D$25" noThreeD="1" sel="6" val="0"/>
</file>

<file path=xl/ctrlProps/ctrlProp44.xml><?xml version="1.0" encoding="utf-8"?>
<formControlPr xmlns="http://schemas.microsoft.com/office/spreadsheetml/2009/9/main" objectType="Drop" dropStyle="combo" dx="16" fmlaLink="_output!$B$80" fmlaRange="_invoervelden!$D$13:$D$18" noThreeD="1" sel="6" val="0"/>
</file>

<file path=xl/ctrlProps/ctrlProp45.xml><?xml version="1.0" encoding="utf-8"?>
<formControlPr xmlns="http://schemas.microsoft.com/office/spreadsheetml/2009/9/main" objectType="Drop" dropStyle="combo" dx="16" fmlaLink="_output!$B$81" fmlaRange="_invoervelden!$D$13:$D$18" noThreeD="1" sel="6" val="0"/>
</file>

<file path=xl/ctrlProps/ctrlProp46.xml><?xml version="1.0" encoding="utf-8"?>
<formControlPr xmlns="http://schemas.microsoft.com/office/spreadsheetml/2009/9/main" objectType="Drop" dropStyle="combo" dx="16" fmlaLink="_output!$B$91" fmlaRange="_invoervelden!$D$20:$D$25" noThreeD="1" sel="6" val="0"/>
</file>

<file path=xl/ctrlProps/ctrlProp47.xml><?xml version="1.0" encoding="utf-8"?>
<formControlPr xmlns="http://schemas.microsoft.com/office/spreadsheetml/2009/9/main" objectType="Drop" dropStyle="combo" dx="16" fmlaLink="_output!$B$97" fmlaRange="_invoervelden!$D$20:$D$25" noThreeD="1" sel="6" val="0"/>
</file>

<file path=xl/ctrlProps/ctrlProp48.xml><?xml version="1.0" encoding="utf-8"?>
<formControlPr xmlns="http://schemas.microsoft.com/office/spreadsheetml/2009/9/main" objectType="Drop" dropStyle="combo" dx="16" fmlaLink="_output!$B$106" fmlaRange="_invoervelden!$D$13:$D$18" noThreeD="1" sel="6" val="0"/>
</file>

<file path=xl/ctrlProps/ctrlProp49.xml><?xml version="1.0" encoding="utf-8"?>
<formControlPr xmlns="http://schemas.microsoft.com/office/spreadsheetml/2009/9/main" objectType="Drop" dropStyle="combo" dx="16" fmlaLink="_output!$B$114" fmlaRange="_invoervelden!$D$13:$D$18" noThreeD="1" sel="6" val="0"/>
</file>

<file path=xl/ctrlProps/ctrlProp50.xml><?xml version="1.0" encoding="utf-8"?>
<formControlPr xmlns="http://schemas.microsoft.com/office/spreadsheetml/2009/9/main" objectType="Drop" dropStyle="combo" dx="16" fmlaLink="_output!$B$115" fmlaRange="_invoervelden!$D$13:$D$18" noThreeD="1" sel="6" val="0"/>
</file>

<file path=xl/ctrlProps/ctrlProp51.xml><?xml version="1.0" encoding="utf-8"?>
<formControlPr xmlns="http://schemas.microsoft.com/office/spreadsheetml/2009/9/main" objectType="Drop" dropStyle="combo" dx="16" fmlaLink="_output!$B$121" fmlaRange="_invoervelden!$D$20:$D$25" noThreeD="1" sel="6" val="0"/>
</file>

<file path=xl/ctrlProps/ctrlProp52.xml><?xml version="1.0" encoding="utf-8"?>
<formControlPr xmlns="http://schemas.microsoft.com/office/spreadsheetml/2009/9/main" objectType="Drop" dropStyle="combo" dx="16" fmlaLink="_output!$B$122" fmlaRange="_invoervelden!$D$20:$D$25" noThreeD="1" sel="6" val="0"/>
</file>

<file path=xl/ctrlProps/ctrlProp53.xml><?xml version="1.0" encoding="utf-8"?>
<formControlPr xmlns="http://schemas.microsoft.com/office/spreadsheetml/2009/9/main" objectType="Drop" dropStyle="combo" dx="16" fmlaLink="_output!$B$127" fmlaRange="_invoervelden!$D$13:$D$18" noThreeD="1" sel="6" val="0"/>
</file>

<file path=xl/ctrlProps/ctrlProp54.xml><?xml version="1.0" encoding="utf-8"?>
<formControlPr xmlns="http://schemas.microsoft.com/office/spreadsheetml/2009/9/main" objectType="Drop" dropStyle="combo" dx="16" fmlaLink="_output!$B$128" fmlaRange="_invoervelden!$D$13:$D$18" noThreeD="1" sel="6" val="0"/>
</file>

<file path=xl/ctrlProps/ctrlProp55.xml><?xml version="1.0" encoding="utf-8"?>
<formControlPr xmlns="http://schemas.microsoft.com/office/spreadsheetml/2009/9/main" objectType="Drop" dropStyle="combo" dx="16" fmlaLink="_output!$B$107" fmlaRange="_invoervelden!$D$13:$D$18" noThreeD="1" sel="6" val="0"/>
</file>

<file path=xl/ctrlProps/ctrlProp56.xml><?xml version="1.0" encoding="utf-8"?>
<formControlPr xmlns="http://schemas.microsoft.com/office/spreadsheetml/2009/9/main" objectType="Drop" dropStyle="combo" dx="16" fmlaLink="_output!$B$108" fmlaRange="_invoervelden!$D$13:$D$18" noThreeD="1" sel="6" val="0"/>
</file>

<file path=xl/ctrlProps/ctrlProp57.xml><?xml version="1.0" encoding="utf-8"?>
<formControlPr xmlns="http://schemas.microsoft.com/office/spreadsheetml/2009/9/main" objectType="Drop" dropStyle="combo" dx="16" fmlaLink="_output!$B$129" fmlaRange="_invoervelden!$D$13:$D$18" noThreeD="1" sel="6" val="0"/>
</file>

<file path=xl/ctrlProps/ctrlProp58.xml><?xml version="1.0" encoding="utf-8"?>
<formControlPr xmlns="http://schemas.microsoft.com/office/spreadsheetml/2009/9/main" objectType="Drop" dropStyle="combo" dx="16" fmlaLink="_output!$B$138" fmlaRange="_invoervelden!$D$20:$D$25" noThreeD="1" sel="6" val="0"/>
</file>

<file path=xl/ctrlProps/ctrlProp59.xml><?xml version="1.0" encoding="utf-8"?>
<formControlPr xmlns="http://schemas.microsoft.com/office/spreadsheetml/2009/9/main" objectType="Drop" dropStyle="combo" dx="16" fmlaLink="_output!$B$149" fmlaRange="_invoervelden!$D$20:$D$25" noThreeD="1" sel="6" val="0"/>
</file>

<file path=xl/ctrlProps/ctrlProp60.xml><?xml version="1.0" encoding="utf-8"?>
<formControlPr xmlns="http://schemas.microsoft.com/office/spreadsheetml/2009/9/main" objectType="Drop" dropStyle="combo" dx="16" fmlaLink="_output!$B$139" fmlaRange="_invoervelden!$D$20:$D$25" noThreeD="1" sel="6" val="0"/>
</file>

<file path=xl/ctrlProps/ctrlProp61.xml><?xml version="1.0" encoding="utf-8"?>
<formControlPr xmlns="http://schemas.microsoft.com/office/spreadsheetml/2009/9/main" objectType="Drop" dropStyle="combo" dx="16" fmlaLink="_output!$B$140" fmlaRange="_invoervelden!$D$20:$D$25" noThreeD="1" sel="6" val="0"/>
</file>

<file path=xl/ctrlProps/ctrlProp62.xml><?xml version="1.0" encoding="utf-8"?>
<formControlPr xmlns="http://schemas.microsoft.com/office/spreadsheetml/2009/9/main" objectType="Drop" dropStyle="combo" dx="16" fmlaLink="_output!$B$141" fmlaRange="_invoervelden!$D$20:$D$25" noThreeD="1" sel="6" val="0"/>
</file>

<file path=xl/ctrlProps/ctrlProp63.xml><?xml version="1.0" encoding="utf-8"?>
<formControlPr xmlns="http://schemas.microsoft.com/office/spreadsheetml/2009/9/main" objectType="Drop" dropStyle="combo" dx="16" fmlaLink="_output!$B$144" fmlaRange="_invoervelden!$D$20:$D$25" noThreeD="1" sel="6" val="0"/>
</file>

<file path=xl/ctrlProps/ctrlProp64.xml><?xml version="1.0" encoding="utf-8"?>
<formControlPr xmlns="http://schemas.microsoft.com/office/spreadsheetml/2009/9/main" objectType="Drop" dropStyle="combo" dx="16" fmlaLink="_output!$B$145" fmlaRange="_invoervelden!$D$20:$D$25" noThreeD="1" sel="6" val="0"/>
</file>

<file path=xl/ctrlProps/ctrlProp65.xml><?xml version="1.0" encoding="utf-8"?>
<formControlPr xmlns="http://schemas.microsoft.com/office/spreadsheetml/2009/9/main" objectType="Drop" dropStyle="combo" dx="16" fmlaLink="_output!$B$146" fmlaRange="_invoervelden!$D$20:$D$25" noThreeD="1" sel="6" val="0"/>
</file>

<file path=xl/ctrlProps/ctrlProp66.xml><?xml version="1.0" encoding="utf-8"?>
<formControlPr xmlns="http://schemas.microsoft.com/office/spreadsheetml/2009/9/main" objectType="Drop" dropStyle="combo" dx="16" fmlaLink="_output!$B$147" fmlaRange="_invoervelden!$D$20:$D$25" noThreeD="1" sel="6" val="0"/>
</file>

<file path=xl/ctrlProps/ctrlProp67.xml><?xml version="1.0" encoding="utf-8"?>
<formControlPr xmlns="http://schemas.microsoft.com/office/spreadsheetml/2009/9/main" objectType="Drop" dropStyle="combo" dx="16" fmlaLink="_output!$B$150" fmlaRange="_invoervelden!$D$20:$D$25" noThreeD="1" sel="6" val="0"/>
</file>

<file path=xl/ctrlProps/ctrlProp68.xml><?xml version="1.0" encoding="utf-8"?>
<formControlPr xmlns="http://schemas.microsoft.com/office/spreadsheetml/2009/9/main" objectType="Drop" dropStyle="combo" dx="16" fmlaLink="_output!$B$151" fmlaRange="_invoervelden!$D$20:$D$25" noThreeD="1" sel="6" val="0"/>
</file>

<file path=xl/drawings/_rels/drawing1.xml.rels><?xml version="1.0" encoding="UTF-8" standalone="yes"?>
<Relationships xmlns="http://schemas.openxmlformats.org/package/2006/relationships"><Relationship Id="rId1" Type="http://schemas.openxmlformats.org/officeDocument/2006/relationships/customXml" Target="../ink/ink1.xml"/><Relationship Id="rId6" Type="http://schemas.openxmlformats.org/officeDocument/2006/relationships/image" Target="../media/image2.png"/><Relationship Id="rId5" Type="http://schemas.openxmlformats.org/officeDocument/2006/relationships/image" Target="../media/image1.png"/><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5</xdr:row>
      <xdr:rowOff>10583</xdr:rowOff>
    </xdr:from>
    <xdr:to>
      <xdr:col>15</xdr:col>
      <xdr:colOff>10584</xdr:colOff>
      <xdr:row>27</xdr:row>
      <xdr:rowOff>137582</xdr:rowOff>
    </xdr:to>
    <xdr:sp macro="" textlink="">
      <xdr:nvSpPr>
        <xdr:cNvPr id="2" name="Tekstvak 1">
          <a:extLst>
            <a:ext uri="{FF2B5EF4-FFF2-40B4-BE49-F238E27FC236}">
              <a16:creationId xmlns:a16="http://schemas.microsoft.com/office/drawing/2014/main" id="{00000000-0008-0000-0000-000002000000}"/>
            </a:ext>
          </a:extLst>
        </xdr:cNvPr>
        <xdr:cNvSpPr txBox="1"/>
      </xdr:nvSpPr>
      <xdr:spPr>
        <a:xfrm>
          <a:off x="0" y="1418166"/>
          <a:ext cx="13006917" cy="455083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2400" b="1"/>
            <a:t>Toelichting</a:t>
          </a:r>
          <a:endParaRPr lang="nl-NL" sz="1600"/>
        </a:p>
        <a:p>
          <a:pPr marL="0" marR="0" lvl="0" indent="0" defTabSz="914400" eaLnBrk="1" fontAlgn="auto" latinLnBrk="0" hangingPunct="1">
            <a:lnSpc>
              <a:spcPct val="100000"/>
            </a:lnSpc>
            <a:spcBef>
              <a:spcPts val="0"/>
            </a:spcBef>
            <a:spcAft>
              <a:spcPts val="0"/>
            </a:spcAft>
            <a:buClrTx/>
            <a:buSzTx/>
            <a:buFontTx/>
            <a:buNone/>
            <a:tabLst/>
            <a:defRPr/>
          </a:pPr>
          <a:r>
            <a:rPr lang="nl-NL" sz="1600" baseline="0"/>
            <a:t>Het doel van het assessment is om de beelden over hoe een standaard functioneert en daarin de beheerorganisatie bespreekbaar te maken en te komen tot verbeterstappen.</a:t>
          </a:r>
        </a:p>
        <a:p>
          <a:pPr marL="0" marR="0" lvl="0" indent="0" defTabSz="914400" eaLnBrk="1" fontAlgn="auto" latinLnBrk="0" hangingPunct="1">
            <a:lnSpc>
              <a:spcPct val="100000"/>
            </a:lnSpc>
            <a:spcBef>
              <a:spcPts val="0"/>
            </a:spcBef>
            <a:spcAft>
              <a:spcPts val="0"/>
            </a:spcAft>
            <a:buClrTx/>
            <a:buSzTx/>
            <a:buFontTx/>
            <a:buNone/>
            <a:tabLst/>
            <a:defRPr/>
          </a:pPr>
          <a:r>
            <a:rPr lang="nl-NL" sz="1600" i="0" baseline="0"/>
            <a:t>Aan de hand van een aantal vragen gebaseerd op het BOMOS fundament</a:t>
          </a:r>
          <a:r>
            <a:rPr lang="nl-NL" sz="1100" i="0" baseline="0">
              <a:solidFill>
                <a:schemeClr val="dk1"/>
              </a:solidFill>
              <a:effectLst/>
              <a:latin typeface="+mn-lt"/>
              <a:ea typeface="+mn-ea"/>
              <a:cs typeface="+mn-cs"/>
            </a:rPr>
            <a:t> </a:t>
          </a:r>
          <a:r>
            <a:rPr lang="nl-NL" sz="1600" i="0" baseline="0"/>
            <a:t> wordt de 'volwassenheid' van een standaard in kaart gebracht. Dit gebeurt met een 5-punts schaal. Hierbij is 5 de hoogste score en daarmee de ambitie om naar te streven. </a:t>
          </a:r>
        </a:p>
        <a:p>
          <a:pPr eaLnBrk="1" fontAlgn="auto" latinLnBrk="0" hangingPunct="1"/>
          <a:r>
            <a:rPr lang="nl-NL" sz="1600" i="0" baseline="0"/>
            <a:t>In het tabblad </a:t>
          </a:r>
          <a:r>
            <a:rPr lang="nl-NL" sz="1600" b="1" i="1" baseline="0"/>
            <a:t>Resultaat</a:t>
          </a:r>
          <a:r>
            <a:rPr lang="nl-NL" sz="1600" b="1" i="0" baseline="0"/>
            <a:t> </a:t>
          </a:r>
          <a:r>
            <a:rPr lang="nl-NL" sz="1600" b="0" i="0" baseline="0"/>
            <a:t>wordt per aspect de score weergegeven. Dit laat zich uiteindelijk vertalen naar een totale score over het volledige BOMOS model heen. (</a:t>
          </a:r>
          <a:r>
            <a:rPr lang="nl-NL" sz="1600" b="0" i="0" baseline="0">
              <a:solidFill>
                <a:schemeClr val="dk1"/>
              </a:solidFill>
              <a:effectLst/>
              <a:latin typeface="+mn-lt"/>
              <a:ea typeface="+mn-ea"/>
              <a:cs typeface="+mn-cs"/>
            </a:rPr>
            <a:t>De sheet is beveiligd om invoerfouten te voorkomen; wil je zelf aanpassingen doen; vul BOMOS in als wachtwoord).</a:t>
          </a:r>
          <a:endParaRPr lang="nl-NL" sz="1600">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nl-NL" sz="1600" i="0" baseline="0"/>
        </a:p>
        <a:p>
          <a:pPr marL="0" marR="0" lvl="0" indent="0" defTabSz="914400" eaLnBrk="1" fontAlgn="auto" latinLnBrk="0" hangingPunct="1">
            <a:lnSpc>
              <a:spcPct val="100000"/>
            </a:lnSpc>
            <a:spcBef>
              <a:spcPts val="0"/>
            </a:spcBef>
            <a:spcAft>
              <a:spcPts val="0"/>
            </a:spcAft>
            <a:buClrTx/>
            <a:buSzTx/>
            <a:buFontTx/>
            <a:buNone/>
            <a:tabLst/>
            <a:defRPr/>
          </a:pPr>
          <a:r>
            <a:rPr lang="nl-NL" sz="1600" i="0" baseline="0"/>
            <a:t>U wordt gevraagd per vraag uw score voor het betreffende standaard aan te geven.  De default waarde is '</a:t>
          </a:r>
          <a:r>
            <a:rPr lang="nl-NL" sz="1600" i="1" baseline="0"/>
            <a:t>Niet van toepassing'. </a:t>
          </a:r>
          <a:r>
            <a:rPr lang="nl-NL" sz="1600" i="0" baseline="0"/>
            <a:t>Deze waarde kan je laten staan als je geen kennis of affiniteit hebt met dat onderwerp. Heb je wel een beeld: kies dan een waarde. Vul de toelichting in waar mogelijk; dit is vaak de meest waardevolle informatie!</a:t>
          </a:r>
          <a:endParaRPr lang="nl-NL" sz="1600" i="1" baseline="0"/>
        </a:p>
        <a:p>
          <a:pPr marL="0" marR="0" lvl="0" indent="0" defTabSz="914400" eaLnBrk="1" fontAlgn="auto" latinLnBrk="0" hangingPunct="1">
            <a:lnSpc>
              <a:spcPct val="100000"/>
            </a:lnSpc>
            <a:spcBef>
              <a:spcPts val="0"/>
            </a:spcBef>
            <a:spcAft>
              <a:spcPts val="0"/>
            </a:spcAft>
            <a:buClrTx/>
            <a:buSzTx/>
            <a:buFontTx/>
            <a:buNone/>
            <a:tabLst/>
            <a:defRPr/>
          </a:pPr>
          <a:endParaRPr lang="nl-NL" sz="1600" b="0" i="0" baseline="0"/>
        </a:p>
        <a:p>
          <a:pPr marL="0" marR="0" lvl="0" indent="0" defTabSz="914400" eaLnBrk="1" fontAlgn="auto" latinLnBrk="0" hangingPunct="1">
            <a:lnSpc>
              <a:spcPct val="100000"/>
            </a:lnSpc>
            <a:spcBef>
              <a:spcPts val="0"/>
            </a:spcBef>
            <a:spcAft>
              <a:spcPts val="0"/>
            </a:spcAft>
            <a:buClrTx/>
            <a:buSzTx/>
            <a:buFontTx/>
            <a:buNone/>
            <a:tabLst/>
            <a:defRPr/>
          </a:pPr>
          <a:endParaRPr lang="nl-NL" sz="1600" b="0" i="0" baseline="0"/>
        </a:p>
        <a:p>
          <a:pPr marL="0" marR="0" lvl="0" indent="0" defTabSz="914400" eaLnBrk="1" fontAlgn="auto" latinLnBrk="0" hangingPunct="1">
            <a:lnSpc>
              <a:spcPct val="100000"/>
            </a:lnSpc>
            <a:spcBef>
              <a:spcPts val="0"/>
            </a:spcBef>
            <a:spcAft>
              <a:spcPts val="0"/>
            </a:spcAft>
            <a:buClrTx/>
            <a:buSzTx/>
            <a:buFontTx/>
            <a:buNone/>
            <a:tabLst/>
            <a:defRPr/>
          </a:pPr>
          <a:endParaRPr lang="nl-NL" sz="1600"/>
        </a:p>
      </xdr:txBody>
    </xdr:sp>
    <xdr:clientData/>
  </xdr:twoCellAnchor>
  <xdr:twoCellAnchor editAs="oneCell">
    <xdr:from>
      <xdr:col>16</xdr:col>
      <xdr:colOff>482440</xdr:colOff>
      <xdr:row>9</xdr:row>
      <xdr:rowOff>58447</xdr:rowOff>
    </xdr:from>
    <xdr:to>
      <xdr:col>16</xdr:col>
      <xdr:colOff>497200</xdr:colOff>
      <xdr:row>9</xdr:row>
      <xdr:rowOff>63847</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6" name="Inkt 5">
              <a:extLst>
                <a:ext uri="{FF2B5EF4-FFF2-40B4-BE49-F238E27FC236}">
                  <a16:creationId xmlns:a16="http://schemas.microsoft.com/office/drawing/2014/main" id="{00000000-0008-0000-0000-000006000000}"/>
                </a:ext>
              </a:extLst>
            </xdr14:cNvPr>
            <xdr14:cNvContentPartPr/>
          </xdr14:nvContentPartPr>
          <xdr14:nvPr macro=""/>
          <xdr14:xfrm>
            <a:off x="13690440" y="2069280"/>
            <a:ext cx="14760" cy="5400"/>
          </xdr14:xfrm>
        </xdr:contentPart>
      </mc:Choice>
      <mc:Fallback xmlns="">
        <xdr:pic>
          <xdr:nvPicPr>
            <xdr:cNvPr id="6" name="Inkt 5">
              <a:extLst>
                <a:ext uri="{FF2B5EF4-FFF2-40B4-BE49-F238E27FC236}">
                  <a16:creationId xmlns:a16="http://schemas.microsoft.com/office/drawing/2014/main" id="{DF577A25-E81D-1F42-88A6-54BCB9E411E1}"/>
                </a:ext>
              </a:extLst>
            </xdr:cNvPr>
            <xdr:cNvPicPr/>
          </xdr:nvPicPr>
          <xdr:blipFill>
            <a:blip xmlns:r="http://schemas.openxmlformats.org/officeDocument/2006/relationships" r:embed="rId4"/>
            <a:stretch>
              <a:fillRect/>
            </a:stretch>
          </xdr:blipFill>
          <xdr:spPr>
            <a:xfrm>
              <a:off x="13681800" y="2060280"/>
              <a:ext cx="32400" cy="23040"/>
            </a:xfrm>
            <a:prstGeom prst="rect">
              <a:avLst/>
            </a:prstGeom>
          </xdr:spPr>
        </xdr:pic>
      </mc:Fallback>
    </mc:AlternateContent>
    <xdr:clientData/>
  </xdr:twoCellAnchor>
  <xdr:twoCellAnchor editAs="oneCell">
    <xdr:from>
      <xdr:col>0</xdr:col>
      <xdr:colOff>55033</xdr:colOff>
      <xdr:row>20</xdr:row>
      <xdr:rowOff>71968</xdr:rowOff>
    </xdr:from>
    <xdr:to>
      <xdr:col>15</xdr:col>
      <xdr:colOff>44995</xdr:colOff>
      <xdr:row>29</xdr:row>
      <xdr:rowOff>88054</xdr:rowOff>
    </xdr:to>
    <xdr:pic>
      <xdr:nvPicPr>
        <xdr:cNvPr id="10" name="Afbeelding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5"/>
        <a:stretch>
          <a:fillRect/>
        </a:stretch>
      </xdr:blipFill>
      <xdr:spPr>
        <a:xfrm>
          <a:off x="55033" y="4240108"/>
          <a:ext cx="13020162" cy="1799166"/>
        </a:xfrm>
        <a:prstGeom prst="rect">
          <a:avLst/>
        </a:prstGeom>
        <a:ln>
          <a:solidFill>
            <a:schemeClr val="lt1">
              <a:shade val="50000"/>
            </a:schemeClr>
          </a:solidFill>
        </a:ln>
      </xdr:spPr>
    </xdr:pic>
    <xdr:clientData/>
  </xdr:twoCellAnchor>
  <xdr:twoCellAnchor editAs="oneCell">
    <xdr:from>
      <xdr:col>2</xdr:col>
      <xdr:colOff>167640</xdr:colOff>
      <xdr:row>31</xdr:row>
      <xdr:rowOff>7620</xdr:rowOff>
    </xdr:from>
    <xdr:to>
      <xdr:col>11</xdr:col>
      <xdr:colOff>755620</xdr:colOff>
      <xdr:row>57</xdr:row>
      <xdr:rowOff>144780</xdr:rowOff>
    </xdr:to>
    <xdr:pic>
      <xdr:nvPicPr>
        <xdr:cNvPr id="4" name="Afbeelding 3" descr="BOMOS Activiteitendiagram">
          <a:extLst>
            <a:ext uri="{FF2B5EF4-FFF2-40B4-BE49-F238E27FC236}">
              <a16:creationId xmlns:a16="http://schemas.microsoft.com/office/drawing/2014/main" id="{FF747586-C803-0EFF-CB88-67D41D9B57B1}"/>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301240" y="6431280"/>
          <a:ext cx="8131780" cy="52882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xdr:rowOff>
        </xdr:from>
        <xdr:to>
          <xdr:col>4</xdr:col>
          <xdr:colOff>1524000</xdr:colOff>
          <xdr:row>3</xdr:row>
          <xdr:rowOff>200025</xdr:rowOff>
        </xdr:to>
        <xdr:sp macro="" textlink="">
          <xdr:nvSpPr>
            <xdr:cNvPr id="2049" name="Vervolgkeuzelijst 55"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38100</xdr:rowOff>
        </xdr:from>
        <xdr:to>
          <xdr:col>4</xdr:col>
          <xdr:colOff>1524000</xdr:colOff>
          <xdr:row>4</xdr:row>
          <xdr:rowOff>228600</xdr:rowOff>
        </xdr:to>
        <xdr:sp macro="" textlink="">
          <xdr:nvSpPr>
            <xdr:cNvPr id="2050" name="Vervolgkeuzelijst 55"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5</xdr:row>
          <xdr:rowOff>38100</xdr:rowOff>
        </xdr:from>
        <xdr:to>
          <xdr:col>4</xdr:col>
          <xdr:colOff>1524000</xdr:colOff>
          <xdr:row>5</xdr:row>
          <xdr:rowOff>228600</xdr:rowOff>
        </xdr:to>
        <xdr:sp macro="" textlink="">
          <xdr:nvSpPr>
            <xdr:cNvPr id="2051" name="Vervolgkeuzelijst 55"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9</xdr:row>
          <xdr:rowOff>38100</xdr:rowOff>
        </xdr:from>
        <xdr:to>
          <xdr:col>4</xdr:col>
          <xdr:colOff>1524000</xdr:colOff>
          <xdr:row>9</xdr:row>
          <xdr:rowOff>228600</xdr:rowOff>
        </xdr:to>
        <xdr:sp macro="" textlink="">
          <xdr:nvSpPr>
            <xdr:cNvPr id="2054" name="Vervolgkeuzelijst 55"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10</xdr:row>
          <xdr:rowOff>0</xdr:rowOff>
        </xdr:from>
        <xdr:to>
          <xdr:col>4</xdr:col>
          <xdr:colOff>1514475</xdr:colOff>
          <xdr:row>10</xdr:row>
          <xdr:rowOff>190500</xdr:rowOff>
        </xdr:to>
        <xdr:sp macro="" textlink="">
          <xdr:nvSpPr>
            <xdr:cNvPr id="2055" name="Vervolgkeuzelijst 55"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11</xdr:row>
          <xdr:rowOff>38100</xdr:rowOff>
        </xdr:from>
        <xdr:to>
          <xdr:col>4</xdr:col>
          <xdr:colOff>1524000</xdr:colOff>
          <xdr:row>11</xdr:row>
          <xdr:rowOff>228600</xdr:rowOff>
        </xdr:to>
        <xdr:sp macro="" textlink="">
          <xdr:nvSpPr>
            <xdr:cNvPr id="2057" name="Vervolgkeuzelijst 55" hidden="1">
              <a:extLst>
                <a:ext uri="{63B3BB69-23CF-44E3-9099-C40C66FF867C}">
                  <a14:compatExt spid="_x0000_s2057"/>
                </a:ext>
                <a:ext uri="{FF2B5EF4-FFF2-40B4-BE49-F238E27FC236}">
                  <a16:creationId xmlns:a16="http://schemas.microsoft.com/office/drawing/2014/main" id="{00000000-0008-0000-0100-00000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6</xdr:row>
          <xdr:rowOff>38100</xdr:rowOff>
        </xdr:from>
        <xdr:to>
          <xdr:col>4</xdr:col>
          <xdr:colOff>1524000</xdr:colOff>
          <xdr:row>6</xdr:row>
          <xdr:rowOff>257175</xdr:rowOff>
        </xdr:to>
        <xdr:sp macro="" textlink="">
          <xdr:nvSpPr>
            <xdr:cNvPr id="2064" name="Drop Down 16" hidden="1">
              <a:extLst>
                <a:ext uri="{63B3BB69-23CF-44E3-9099-C40C66FF867C}">
                  <a14:compatExt spid="_x0000_s2064"/>
                </a:ext>
                <a:ext uri="{FF2B5EF4-FFF2-40B4-BE49-F238E27FC236}">
                  <a16:creationId xmlns:a16="http://schemas.microsoft.com/office/drawing/2014/main" id="{00000000-0008-0000-0100-000010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7</xdr:row>
          <xdr:rowOff>0</xdr:rowOff>
        </xdr:from>
        <xdr:to>
          <xdr:col>4</xdr:col>
          <xdr:colOff>1524000</xdr:colOff>
          <xdr:row>7</xdr:row>
          <xdr:rowOff>190500</xdr:rowOff>
        </xdr:to>
        <xdr:sp macro="" textlink="">
          <xdr:nvSpPr>
            <xdr:cNvPr id="2066" name="Drop Down 18" hidden="1">
              <a:extLst>
                <a:ext uri="{63B3BB69-23CF-44E3-9099-C40C66FF867C}">
                  <a14:compatExt spid="_x0000_s2066"/>
                </a:ext>
                <a:ext uri="{FF2B5EF4-FFF2-40B4-BE49-F238E27FC236}">
                  <a16:creationId xmlns:a16="http://schemas.microsoft.com/office/drawing/2014/main" id="{00000000-0008-0000-0100-00001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8</xdr:row>
          <xdr:rowOff>38100</xdr:rowOff>
        </xdr:from>
        <xdr:to>
          <xdr:col>4</xdr:col>
          <xdr:colOff>1524000</xdr:colOff>
          <xdr:row>8</xdr:row>
          <xdr:rowOff>228600</xdr:rowOff>
        </xdr:to>
        <xdr:sp macro="" textlink="">
          <xdr:nvSpPr>
            <xdr:cNvPr id="2068" name="Drop Down 20" hidden="1">
              <a:extLst>
                <a:ext uri="{63B3BB69-23CF-44E3-9099-C40C66FF867C}">
                  <a14:compatExt spid="_x0000_s2068"/>
                </a:ext>
                <a:ext uri="{FF2B5EF4-FFF2-40B4-BE49-F238E27FC236}">
                  <a16:creationId xmlns:a16="http://schemas.microsoft.com/office/drawing/2014/main" id="{00000000-0008-0000-0100-00001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13</xdr:row>
          <xdr:rowOff>38100</xdr:rowOff>
        </xdr:from>
        <xdr:to>
          <xdr:col>4</xdr:col>
          <xdr:colOff>1524000</xdr:colOff>
          <xdr:row>13</xdr:row>
          <xdr:rowOff>228600</xdr:rowOff>
        </xdr:to>
        <xdr:sp macro="" textlink="">
          <xdr:nvSpPr>
            <xdr:cNvPr id="2070" name="Drop Down 22" hidden="1">
              <a:extLst>
                <a:ext uri="{63B3BB69-23CF-44E3-9099-C40C66FF867C}">
                  <a14:compatExt spid="_x0000_s2070"/>
                </a:ext>
                <a:ext uri="{FF2B5EF4-FFF2-40B4-BE49-F238E27FC236}">
                  <a16:creationId xmlns:a16="http://schemas.microsoft.com/office/drawing/2014/main" id="{00000000-0008-0000-0100-000016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19</xdr:row>
          <xdr:rowOff>38100</xdr:rowOff>
        </xdr:from>
        <xdr:to>
          <xdr:col>4</xdr:col>
          <xdr:colOff>1524000</xdr:colOff>
          <xdr:row>19</xdr:row>
          <xdr:rowOff>209550</xdr:rowOff>
        </xdr:to>
        <xdr:sp macro="" textlink="">
          <xdr:nvSpPr>
            <xdr:cNvPr id="2072" name="Drop Down 24" hidden="1">
              <a:extLst>
                <a:ext uri="{63B3BB69-23CF-44E3-9099-C40C66FF867C}">
                  <a14:compatExt spid="_x0000_s2072"/>
                </a:ext>
                <a:ext uri="{FF2B5EF4-FFF2-40B4-BE49-F238E27FC236}">
                  <a16:creationId xmlns:a16="http://schemas.microsoft.com/office/drawing/2014/main" id="{00000000-0008-0000-0100-00001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23</xdr:row>
          <xdr:rowOff>38100</xdr:rowOff>
        </xdr:from>
        <xdr:to>
          <xdr:col>4</xdr:col>
          <xdr:colOff>1524000</xdr:colOff>
          <xdr:row>23</xdr:row>
          <xdr:rowOff>228600</xdr:rowOff>
        </xdr:to>
        <xdr:sp macro="" textlink="">
          <xdr:nvSpPr>
            <xdr:cNvPr id="2074" name="Drop Down 26" hidden="1">
              <a:extLst>
                <a:ext uri="{63B3BB69-23CF-44E3-9099-C40C66FF867C}">
                  <a14:compatExt spid="_x0000_s2074"/>
                </a:ext>
                <a:ext uri="{FF2B5EF4-FFF2-40B4-BE49-F238E27FC236}">
                  <a16:creationId xmlns:a16="http://schemas.microsoft.com/office/drawing/2014/main" id="{00000000-0008-0000-01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24</xdr:row>
          <xdr:rowOff>38100</xdr:rowOff>
        </xdr:from>
        <xdr:to>
          <xdr:col>4</xdr:col>
          <xdr:colOff>1524000</xdr:colOff>
          <xdr:row>24</xdr:row>
          <xdr:rowOff>257175</xdr:rowOff>
        </xdr:to>
        <xdr:sp macro="" textlink="">
          <xdr:nvSpPr>
            <xdr:cNvPr id="2075" name="Drop Down 27" hidden="1">
              <a:extLst>
                <a:ext uri="{63B3BB69-23CF-44E3-9099-C40C66FF867C}">
                  <a14:compatExt spid="_x0000_s2075"/>
                </a:ext>
                <a:ext uri="{FF2B5EF4-FFF2-40B4-BE49-F238E27FC236}">
                  <a16:creationId xmlns:a16="http://schemas.microsoft.com/office/drawing/2014/main" id="{00000000-0008-0000-0100-00001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14</xdr:row>
          <xdr:rowOff>38100</xdr:rowOff>
        </xdr:from>
        <xdr:to>
          <xdr:col>4</xdr:col>
          <xdr:colOff>1524000</xdr:colOff>
          <xdr:row>14</xdr:row>
          <xdr:rowOff>228600</xdr:rowOff>
        </xdr:to>
        <xdr:sp macro="" textlink="">
          <xdr:nvSpPr>
            <xdr:cNvPr id="2091" name="Drop Down 43" hidden="1">
              <a:extLst>
                <a:ext uri="{63B3BB69-23CF-44E3-9099-C40C66FF867C}">
                  <a14:compatExt spid="_x0000_s2091"/>
                </a:ext>
                <a:ext uri="{FF2B5EF4-FFF2-40B4-BE49-F238E27FC236}">
                  <a16:creationId xmlns:a16="http://schemas.microsoft.com/office/drawing/2014/main" id="{00000000-0008-0000-0100-00002B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15</xdr:row>
          <xdr:rowOff>38100</xdr:rowOff>
        </xdr:from>
        <xdr:to>
          <xdr:col>4</xdr:col>
          <xdr:colOff>1524000</xdr:colOff>
          <xdr:row>15</xdr:row>
          <xdr:rowOff>228600</xdr:rowOff>
        </xdr:to>
        <xdr:sp macro="" textlink="">
          <xdr:nvSpPr>
            <xdr:cNvPr id="2093" name="Drop Down 45" hidden="1">
              <a:extLst>
                <a:ext uri="{63B3BB69-23CF-44E3-9099-C40C66FF867C}">
                  <a14:compatExt spid="_x0000_s2093"/>
                </a:ext>
                <a:ext uri="{FF2B5EF4-FFF2-40B4-BE49-F238E27FC236}">
                  <a16:creationId xmlns:a16="http://schemas.microsoft.com/office/drawing/2014/main" id="{00000000-0008-0000-0100-00002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16</xdr:row>
          <xdr:rowOff>38100</xdr:rowOff>
        </xdr:from>
        <xdr:to>
          <xdr:col>4</xdr:col>
          <xdr:colOff>1524000</xdr:colOff>
          <xdr:row>16</xdr:row>
          <xdr:rowOff>228600</xdr:rowOff>
        </xdr:to>
        <xdr:sp macro="" textlink="">
          <xdr:nvSpPr>
            <xdr:cNvPr id="2095" name="Drop Down 47" hidden="1">
              <a:extLst>
                <a:ext uri="{63B3BB69-23CF-44E3-9099-C40C66FF867C}">
                  <a14:compatExt spid="_x0000_s2095"/>
                </a:ext>
                <a:ext uri="{FF2B5EF4-FFF2-40B4-BE49-F238E27FC236}">
                  <a16:creationId xmlns:a16="http://schemas.microsoft.com/office/drawing/2014/main" id="{00000000-0008-0000-0100-00002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25</xdr:row>
          <xdr:rowOff>38100</xdr:rowOff>
        </xdr:from>
        <xdr:to>
          <xdr:col>4</xdr:col>
          <xdr:colOff>1524000</xdr:colOff>
          <xdr:row>25</xdr:row>
          <xdr:rowOff>257175</xdr:rowOff>
        </xdr:to>
        <xdr:sp macro="" textlink="">
          <xdr:nvSpPr>
            <xdr:cNvPr id="2097" name="Drop Down 49" hidden="1">
              <a:extLst>
                <a:ext uri="{63B3BB69-23CF-44E3-9099-C40C66FF867C}">
                  <a14:compatExt spid="_x0000_s2097"/>
                </a:ext>
                <a:ext uri="{FF2B5EF4-FFF2-40B4-BE49-F238E27FC236}">
                  <a16:creationId xmlns:a16="http://schemas.microsoft.com/office/drawing/2014/main" id="{00000000-0008-0000-0100-00003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26</xdr:row>
          <xdr:rowOff>38100</xdr:rowOff>
        </xdr:from>
        <xdr:to>
          <xdr:col>4</xdr:col>
          <xdr:colOff>1524000</xdr:colOff>
          <xdr:row>26</xdr:row>
          <xdr:rowOff>257175</xdr:rowOff>
        </xdr:to>
        <xdr:sp macro="" textlink="">
          <xdr:nvSpPr>
            <xdr:cNvPr id="2098" name="Drop Down 50" hidden="1">
              <a:extLst>
                <a:ext uri="{63B3BB69-23CF-44E3-9099-C40C66FF867C}">
                  <a14:compatExt spid="_x0000_s2098"/>
                </a:ext>
                <a:ext uri="{FF2B5EF4-FFF2-40B4-BE49-F238E27FC236}">
                  <a16:creationId xmlns:a16="http://schemas.microsoft.com/office/drawing/2014/main" id="{00000000-0008-0000-0100-000032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20</xdr:row>
          <xdr:rowOff>38100</xdr:rowOff>
        </xdr:from>
        <xdr:to>
          <xdr:col>4</xdr:col>
          <xdr:colOff>1524000</xdr:colOff>
          <xdr:row>20</xdr:row>
          <xdr:rowOff>257175</xdr:rowOff>
        </xdr:to>
        <xdr:sp macro="" textlink="">
          <xdr:nvSpPr>
            <xdr:cNvPr id="2103" name="Drop Down 55" hidden="1">
              <a:extLst>
                <a:ext uri="{63B3BB69-23CF-44E3-9099-C40C66FF867C}">
                  <a14:compatExt spid="_x0000_s2103"/>
                </a:ext>
                <a:ext uri="{FF2B5EF4-FFF2-40B4-BE49-F238E27FC236}">
                  <a16:creationId xmlns:a16="http://schemas.microsoft.com/office/drawing/2014/main" id="{00000000-0008-0000-0100-000037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21</xdr:row>
          <xdr:rowOff>38100</xdr:rowOff>
        </xdr:from>
        <xdr:to>
          <xdr:col>4</xdr:col>
          <xdr:colOff>1524000</xdr:colOff>
          <xdr:row>21</xdr:row>
          <xdr:rowOff>257175</xdr:rowOff>
        </xdr:to>
        <xdr:sp macro="" textlink="">
          <xdr:nvSpPr>
            <xdr:cNvPr id="2104" name="Drop Down 56" hidden="1">
              <a:extLst>
                <a:ext uri="{63B3BB69-23CF-44E3-9099-C40C66FF867C}">
                  <a14:compatExt spid="_x0000_s2104"/>
                </a:ext>
                <a:ext uri="{FF2B5EF4-FFF2-40B4-BE49-F238E27FC236}">
                  <a16:creationId xmlns:a16="http://schemas.microsoft.com/office/drawing/2014/main" id="{00000000-0008-0000-0100-000038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18</xdr:row>
          <xdr:rowOff>38100</xdr:rowOff>
        </xdr:from>
        <xdr:to>
          <xdr:col>4</xdr:col>
          <xdr:colOff>1524000</xdr:colOff>
          <xdr:row>18</xdr:row>
          <xdr:rowOff>209550</xdr:rowOff>
        </xdr:to>
        <xdr:sp macro="" textlink="">
          <xdr:nvSpPr>
            <xdr:cNvPr id="2105" name="Drop Down 57" hidden="1">
              <a:extLst>
                <a:ext uri="{63B3BB69-23CF-44E3-9099-C40C66FF867C}">
                  <a14:compatExt spid="_x0000_s2105"/>
                </a:ext>
                <a:ext uri="{FF2B5EF4-FFF2-40B4-BE49-F238E27FC236}">
                  <a16:creationId xmlns:a16="http://schemas.microsoft.com/office/drawing/2014/main" id="{00000000-0008-0000-0100-00003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4</xdr:row>
          <xdr:rowOff>38100</xdr:rowOff>
        </xdr:from>
        <xdr:to>
          <xdr:col>4</xdr:col>
          <xdr:colOff>1533525</xdr:colOff>
          <xdr:row>4</xdr:row>
          <xdr:rowOff>228600</xdr:rowOff>
        </xdr:to>
        <xdr:sp macro="" textlink="">
          <xdr:nvSpPr>
            <xdr:cNvPr id="4099" name="Vervolgkeuzelijst 55" hidden="1">
              <a:extLst>
                <a:ext uri="{63B3BB69-23CF-44E3-9099-C40C66FF867C}">
                  <a14:compatExt spid="_x0000_s4099"/>
                </a:ext>
                <a:ext uri="{FF2B5EF4-FFF2-40B4-BE49-F238E27FC236}">
                  <a16:creationId xmlns:a16="http://schemas.microsoft.com/office/drawing/2014/main" id="{00000000-0008-0000-0200-000003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5</xdr:row>
          <xdr:rowOff>9525</xdr:rowOff>
        </xdr:from>
        <xdr:to>
          <xdr:col>6</xdr:col>
          <xdr:colOff>0</xdr:colOff>
          <xdr:row>5</xdr:row>
          <xdr:rowOff>228600</xdr:rowOff>
        </xdr:to>
        <xdr:sp macro="" textlink="">
          <xdr:nvSpPr>
            <xdr:cNvPr id="4100" name="Vervolgkeuzelijst 55" hidden="1">
              <a:extLst>
                <a:ext uri="{63B3BB69-23CF-44E3-9099-C40C66FF867C}">
                  <a14:compatExt spid="_x0000_s4100"/>
                </a:ext>
                <a:ext uri="{FF2B5EF4-FFF2-40B4-BE49-F238E27FC236}">
                  <a16:creationId xmlns:a16="http://schemas.microsoft.com/office/drawing/2014/main" id="{00000000-0008-0000-02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47625</xdr:colOff>
          <xdr:row>6</xdr:row>
          <xdr:rowOff>19050</xdr:rowOff>
        </xdr:from>
        <xdr:to>
          <xdr:col>6</xdr:col>
          <xdr:colOff>9525</xdr:colOff>
          <xdr:row>6</xdr:row>
          <xdr:rowOff>209550</xdr:rowOff>
        </xdr:to>
        <xdr:sp macro="" textlink="">
          <xdr:nvSpPr>
            <xdr:cNvPr id="4101" name="Vervolgkeuzelijst 55" hidden="1">
              <a:extLst>
                <a:ext uri="{63B3BB69-23CF-44E3-9099-C40C66FF867C}">
                  <a14:compatExt spid="_x0000_s4101"/>
                </a:ext>
                <a:ext uri="{FF2B5EF4-FFF2-40B4-BE49-F238E27FC236}">
                  <a16:creationId xmlns:a16="http://schemas.microsoft.com/office/drawing/2014/main" id="{00000000-0008-0000-0200-000005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9525</xdr:rowOff>
        </xdr:from>
        <xdr:to>
          <xdr:col>4</xdr:col>
          <xdr:colOff>1524000</xdr:colOff>
          <xdr:row>8</xdr:row>
          <xdr:rowOff>228600</xdr:rowOff>
        </xdr:to>
        <xdr:sp macro="" textlink="">
          <xdr:nvSpPr>
            <xdr:cNvPr id="4102" name="Vervolgkeuzelijst 55" hidden="1">
              <a:extLst>
                <a:ext uri="{63B3BB69-23CF-44E3-9099-C40C66FF867C}">
                  <a14:compatExt spid="_x0000_s4102"/>
                </a:ext>
                <a:ext uri="{FF2B5EF4-FFF2-40B4-BE49-F238E27FC236}">
                  <a16:creationId xmlns:a16="http://schemas.microsoft.com/office/drawing/2014/main" id="{00000000-0008-0000-0200-00000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9</xdr:row>
          <xdr:rowOff>28575</xdr:rowOff>
        </xdr:from>
        <xdr:to>
          <xdr:col>6</xdr:col>
          <xdr:colOff>0</xdr:colOff>
          <xdr:row>9</xdr:row>
          <xdr:rowOff>238125</xdr:rowOff>
        </xdr:to>
        <xdr:sp macro="" textlink="">
          <xdr:nvSpPr>
            <xdr:cNvPr id="4103" name="Vervolgkeuzelijst 55" hidden="1">
              <a:extLst>
                <a:ext uri="{63B3BB69-23CF-44E3-9099-C40C66FF867C}">
                  <a14:compatExt spid="_x0000_s4103"/>
                </a:ext>
                <a:ext uri="{FF2B5EF4-FFF2-40B4-BE49-F238E27FC236}">
                  <a16:creationId xmlns:a16="http://schemas.microsoft.com/office/drawing/2014/main" id="{00000000-0008-0000-0200-00000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11</xdr:row>
          <xdr:rowOff>9525</xdr:rowOff>
        </xdr:from>
        <xdr:to>
          <xdr:col>4</xdr:col>
          <xdr:colOff>1524000</xdr:colOff>
          <xdr:row>11</xdr:row>
          <xdr:rowOff>228600</xdr:rowOff>
        </xdr:to>
        <xdr:sp macro="" textlink="">
          <xdr:nvSpPr>
            <xdr:cNvPr id="4105" name="Vervolgkeuzelijst 55" hidden="1">
              <a:extLst>
                <a:ext uri="{63B3BB69-23CF-44E3-9099-C40C66FF867C}">
                  <a14:compatExt spid="_x0000_s4105"/>
                </a:ext>
                <a:ext uri="{FF2B5EF4-FFF2-40B4-BE49-F238E27FC236}">
                  <a16:creationId xmlns:a16="http://schemas.microsoft.com/office/drawing/2014/main" id="{00000000-0008-0000-0200-000009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12</xdr:row>
          <xdr:rowOff>9525</xdr:rowOff>
        </xdr:from>
        <xdr:to>
          <xdr:col>4</xdr:col>
          <xdr:colOff>1524000</xdr:colOff>
          <xdr:row>12</xdr:row>
          <xdr:rowOff>228600</xdr:rowOff>
        </xdr:to>
        <xdr:sp macro="" textlink="">
          <xdr:nvSpPr>
            <xdr:cNvPr id="4106" name="Vervolgkeuzelijst 55" hidden="1">
              <a:extLst>
                <a:ext uri="{63B3BB69-23CF-44E3-9099-C40C66FF867C}">
                  <a14:compatExt spid="_x0000_s4106"/>
                </a:ext>
                <a:ext uri="{FF2B5EF4-FFF2-40B4-BE49-F238E27FC236}">
                  <a16:creationId xmlns:a16="http://schemas.microsoft.com/office/drawing/2014/main" id="{00000000-0008-0000-02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14</xdr:row>
          <xdr:rowOff>85725</xdr:rowOff>
        </xdr:from>
        <xdr:to>
          <xdr:col>4</xdr:col>
          <xdr:colOff>1524000</xdr:colOff>
          <xdr:row>14</xdr:row>
          <xdr:rowOff>304800</xdr:rowOff>
        </xdr:to>
        <xdr:sp macro="" textlink="">
          <xdr:nvSpPr>
            <xdr:cNvPr id="4107" name="Vervolgkeuzelijst 55" hidden="1">
              <a:extLst>
                <a:ext uri="{63B3BB69-23CF-44E3-9099-C40C66FF867C}">
                  <a14:compatExt spid="_x0000_s4107"/>
                </a:ext>
                <a:ext uri="{FF2B5EF4-FFF2-40B4-BE49-F238E27FC236}">
                  <a16:creationId xmlns:a16="http://schemas.microsoft.com/office/drawing/2014/main" id="{00000000-0008-0000-0200-00000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85725</xdr:rowOff>
        </xdr:from>
        <xdr:to>
          <xdr:col>4</xdr:col>
          <xdr:colOff>1524000</xdr:colOff>
          <xdr:row>15</xdr:row>
          <xdr:rowOff>304800</xdr:rowOff>
        </xdr:to>
        <xdr:sp macro="" textlink="">
          <xdr:nvSpPr>
            <xdr:cNvPr id="4108" name="Vervolgkeuzelijst 55" hidden="1">
              <a:extLst>
                <a:ext uri="{63B3BB69-23CF-44E3-9099-C40C66FF867C}">
                  <a14:compatExt spid="_x0000_s4108"/>
                </a:ext>
                <a:ext uri="{FF2B5EF4-FFF2-40B4-BE49-F238E27FC236}">
                  <a16:creationId xmlns:a16="http://schemas.microsoft.com/office/drawing/2014/main" id="{00000000-0008-0000-0200-00000C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85725</xdr:rowOff>
        </xdr:from>
        <xdr:to>
          <xdr:col>4</xdr:col>
          <xdr:colOff>1524000</xdr:colOff>
          <xdr:row>16</xdr:row>
          <xdr:rowOff>304800</xdr:rowOff>
        </xdr:to>
        <xdr:sp macro="" textlink="">
          <xdr:nvSpPr>
            <xdr:cNvPr id="4109" name="Vervolgkeuzelijst 55" hidden="1">
              <a:extLst>
                <a:ext uri="{63B3BB69-23CF-44E3-9099-C40C66FF867C}">
                  <a14:compatExt spid="_x0000_s4109"/>
                </a:ext>
                <a:ext uri="{FF2B5EF4-FFF2-40B4-BE49-F238E27FC236}">
                  <a16:creationId xmlns:a16="http://schemas.microsoft.com/office/drawing/2014/main" id="{00000000-0008-0000-0200-00000D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xdr:row>
          <xdr:rowOff>85725</xdr:rowOff>
        </xdr:from>
        <xdr:to>
          <xdr:col>4</xdr:col>
          <xdr:colOff>1524000</xdr:colOff>
          <xdr:row>17</xdr:row>
          <xdr:rowOff>304800</xdr:rowOff>
        </xdr:to>
        <xdr:sp macro="" textlink="">
          <xdr:nvSpPr>
            <xdr:cNvPr id="4110" name="Vervolgkeuzelijst 55" hidden="1">
              <a:extLst>
                <a:ext uri="{63B3BB69-23CF-44E3-9099-C40C66FF867C}">
                  <a14:compatExt spid="_x0000_s4110"/>
                </a:ext>
                <a:ext uri="{FF2B5EF4-FFF2-40B4-BE49-F238E27FC236}">
                  <a16:creationId xmlns:a16="http://schemas.microsoft.com/office/drawing/2014/main" id="{00000000-0008-0000-0200-00000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19</xdr:row>
          <xdr:rowOff>9525</xdr:rowOff>
        </xdr:from>
        <xdr:to>
          <xdr:col>4</xdr:col>
          <xdr:colOff>1524000</xdr:colOff>
          <xdr:row>19</xdr:row>
          <xdr:rowOff>228600</xdr:rowOff>
        </xdr:to>
        <xdr:sp macro="" textlink="">
          <xdr:nvSpPr>
            <xdr:cNvPr id="4118" name="Vervolgkeuzelijst 55" hidden="1">
              <a:extLst>
                <a:ext uri="{63B3BB69-23CF-44E3-9099-C40C66FF867C}">
                  <a14:compatExt spid="_x0000_s4118"/>
                </a:ext>
                <a:ext uri="{FF2B5EF4-FFF2-40B4-BE49-F238E27FC236}">
                  <a16:creationId xmlns:a16="http://schemas.microsoft.com/office/drawing/2014/main" id="{00000000-0008-0000-0200-000016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38100</xdr:colOff>
          <xdr:row>3</xdr:row>
          <xdr:rowOff>0</xdr:rowOff>
        </xdr:from>
        <xdr:to>
          <xdr:col>6</xdr:col>
          <xdr:colOff>0</xdr:colOff>
          <xdr:row>3</xdr:row>
          <xdr:rowOff>200025</xdr:rowOff>
        </xdr:to>
        <xdr:sp macro="" textlink="">
          <xdr:nvSpPr>
            <xdr:cNvPr id="4126" name="Drop Down 30" hidden="1">
              <a:extLst>
                <a:ext uri="{63B3BB69-23CF-44E3-9099-C40C66FF867C}">
                  <a14:compatExt spid="_x0000_s4126"/>
                </a:ext>
                <a:ext uri="{FF2B5EF4-FFF2-40B4-BE49-F238E27FC236}">
                  <a16:creationId xmlns:a16="http://schemas.microsoft.com/office/drawing/2014/main" id="{00000000-0008-0000-0200-00001E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10</xdr:row>
          <xdr:rowOff>28575</xdr:rowOff>
        </xdr:from>
        <xdr:to>
          <xdr:col>6</xdr:col>
          <xdr:colOff>0</xdr:colOff>
          <xdr:row>10</xdr:row>
          <xdr:rowOff>238125</xdr:rowOff>
        </xdr:to>
        <xdr:sp macro="" textlink="">
          <xdr:nvSpPr>
            <xdr:cNvPr id="4135" name="Drop Down 39" hidden="1">
              <a:extLst>
                <a:ext uri="{63B3BB69-23CF-44E3-9099-C40C66FF867C}">
                  <a14:compatExt spid="_x0000_s4135"/>
                </a:ext>
                <a:ext uri="{FF2B5EF4-FFF2-40B4-BE49-F238E27FC236}">
                  <a16:creationId xmlns:a16="http://schemas.microsoft.com/office/drawing/2014/main" id="{00000000-0008-0000-0200-000027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0</xdr:colOff>
          <xdr:row>4</xdr:row>
          <xdr:rowOff>114300</xdr:rowOff>
        </xdr:from>
        <xdr:to>
          <xdr:col>6</xdr:col>
          <xdr:colOff>9525</xdr:colOff>
          <xdr:row>4</xdr:row>
          <xdr:rowOff>314325</xdr:rowOff>
        </xdr:to>
        <xdr:sp macro="" textlink="">
          <xdr:nvSpPr>
            <xdr:cNvPr id="5129" name="Drop Down 9" hidden="1">
              <a:extLst>
                <a:ext uri="{63B3BB69-23CF-44E3-9099-C40C66FF867C}">
                  <a14:compatExt spid="_x0000_s5129"/>
                </a:ext>
                <a:ext uri="{FF2B5EF4-FFF2-40B4-BE49-F238E27FC236}">
                  <a16:creationId xmlns:a16="http://schemas.microsoft.com/office/drawing/2014/main" id="{00000000-0008-0000-0300-00000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5</xdr:row>
          <xdr:rowOff>114300</xdr:rowOff>
        </xdr:from>
        <xdr:to>
          <xdr:col>6</xdr:col>
          <xdr:colOff>9525</xdr:colOff>
          <xdr:row>5</xdr:row>
          <xdr:rowOff>314325</xdr:rowOff>
        </xdr:to>
        <xdr:sp macro="" textlink="">
          <xdr:nvSpPr>
            <xdr:cNvPr id="5130" name="Drop Down 10" hidden="1">
              <a:extLst>
                <a:ext uri="{63B3BB69-23CF-44E3-9099-C40C66FF867C}">
                  <a14:compatExt spid="_x0000_s5130"/>
                </a:ext>
                <a:ext uri="{FF2B5EF4-FFF2-40B4-BE49-F238E27FC236}">
                  <a16:creationId xmlns:a16="http://schemas.microsoft.com/office/drawing/2014/main" id="{00000000-0008-0000-0300-00000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8</xdr:row>
          <xdr:rowOff>114300</xdr:rowOff>
        </xdr:from>
        <xdr:to>
          <xdr:col>6</xdr:col>
          <xdr:colOff>9525</xdr:colOff>
          <xdr:row>8</xdr:row>
          <xdr:rowOff>314325</xdr:rowOff>
        </xdr:to>
        <xdr:sp macro="" textlink="">
          <xdr:nvSpPr>
            <xdr:cNvPr id="5132" name="Drop Down 12" hidden="1">
              <a:extLst>
                <a:ext uri="{63B3BB69-23CF-44E3-9099-C40C66FF867C}">
                  <a14:compatExt spid="_x0000_s5132"/>
                </a:ext>
                <a:ext uri="{FF2B5EF4-FFF2-40B4-BE49-F238E27FC236}">
                  <a16:creationId xmlns:a16="http://schemas.microsoft.com/office/drawing/2014/main" id="{00000000-0008-0000-0300-00000C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6248400</xdr:colOff>
          <xdr:row>12</xdr:row>
          <xdr:rowOff>0</xdr:rowOff>
        </xdr:from>
        <xdr:to>
          <xdr:col>4</xdr:col>
          <xdr:colOff>1514475</xdr:colOff>
          <xdr:row>12</xdr:row>
          <xdr:rowOff>200025</xdr:rowOff>
        </xdr:to>
        <xdr:sp macro="" textlink="">
          <xdr:nvSpPr>
            <xdr:cNvPr id="5134" name="Drop Down 14" hidden="1">
              <a:extLst>
                <a:ext uri="{63B3BB69-23CF-44E3-9099-C40C66FF867C}">
                  <a14:compatExt spid="_x0000_s5134"/>
                </a:ext>
                <a:ext uri="{FF2B5EF4-FFF2-40B4-BE49-F238E27FC236}">
                  <a16:creationId xmlns:a16="http://schemas.microsoft.com/office/drawing/2014/main" id="{00000000-0008-0000-0300-00000E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6248400</xdr:colOff>
          <xdr:row>14</xdr:row>
          <xdr:rowOff>114300</xdr:rowOff>
        </xdr:from>
        <xdr:to>
          <xdr:col>4</xdr:col>
          <xdr:colOff>1514475</xdr:colOff>
          <xdr:row>14</xdr:row>
          <xdr:rowOff>314325</xdr:rowOff>
        </xdr:to>
        <xdr:sp macro="" textlink="">
          <xdr:nvSpPr>
            <xdr:cNvPr id="5135" name="Drop Down 15" hidden="1">
              <a:extLst>
                <a:ext uri="{63B3BB69-23CF-44E3-9099-C40C66FF867C}">
                  <a14:compatExt spid="_x0000_s5135"/>
                </a:ext>
                <a:ext uri="{FF2B5EF4-FFF2-40B4-BE49-F238E27FC236}">
                  <a16:creationId xmlns:a16="http://schemas.microsoft.com/office/drawing/2014/main" id="{00000000-0008-0000-0300-00000F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16</xdr:row>
          <xdr:rowOff>114300</xdr:rowOff>
        </xdr:from>
        <xdr:to>
          <xdr:col>6</xdr:col>
          <xdr:colOff>9525</xdr:colOff>
          <xdr:row>16</xdr:row>
          <xdr:rowOff>314325</xdr:rowOff>
        </xdr:to>
        <xdr:sp macro="" textlink="">
          <xdr:nvSpPr>
            <xdr:cNvPr id="5138" name="Drop Down 18" hidden="1">
              <a:extLst>
                <a:ext uri="{63B3BB69-23CF-44E3-9099-C40C66FF867C}">
                  <a14:compatExt spid="_x0000_s5138"/>
                </a:ext>
                <a:ext uri="{FF2B5EF4-FFF2-40B4-BE49-F238E27FC236}">
                  <a16:creationId xmlns:a16="http://schemas.microsoft.com/office/drawing/2014/main" id="{00000000-0008-0000-0300-000012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6</xdr:row>
          <xdr:rowOff>114300</xdr:rowOff>
        </xdr:from>
        <xdr:to>
          <xdr:col>6</xdr:col>
          <xdr:colOff>9525</xdr:colOff>
          <xdr:row>6</xdr:row>
          <xdr:rowOff>314325</xdr:rowOff>
        </xdr:to>
        <xdr:sp macro="" textlink="">
          <xdr:nvSpPr>
            <xdr:cNvPr id="5141" name="Drop Down 21" hidden="1">
              <a:extLst>
                <a:ext uri="{63B3BB69-23CF-44E3-9099-C40C66FF867C}">
                  <a14:compatExt spid="_x0000_s5141"/>
                </a:ext>
                <a:ext uri="{FF2B5EF4-FFF2-40B4-BE49-F238E27FC236}">
                  <a16:creationId xmlns:a16="http://schemas.microsoft.com/office/drawing/2014/main" id="{00000000-0008-0000-0300-000015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17</xdr:row>
          <xdr:rowOff>114300</xdr:rowOff>
        </xdr:from>
        <xdr:to>
          <xdr:col>6</xdr:col>
          <xdr:colOff>9525</xdr:colOff>
          <xdr:row>17</xdr:row>
          <xdr:rowOff>314325</xdr:rowOff>
        </xdr:to>
        <xdr:sp macro="" textlink="">
          <xdr:nvSpPr>
            <xdr:cNvPr id="5142" name="Drop Down 22" hidden="1">
              <a:extLst>
                <a:ext uri="{63B3BB69-23CF-44E3-9099-C40C66FF867C}">
                  <a14:compatExt spid="_x0000_s5142"/>
                </a:ext>
                <a:ext uri="{FF2B5EF4-FFF2-40B4-BE49-F238E27FC236}">
                  <a16:creationId xmlns:a16="http://schemas.microsoft.com/office/drawing/2014/main" id="{00000000-0008-0000-0300-000016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9</xdr:row>
          <xdr:rowOff>114300</xdr:rowOff>
        </xdr:from>
        <xdr:to>
          <xdr:col>6</xdr:col>
          <xdr:colOff>9525</xdr:colOff>
          <xdr:row>9</xdr:row>
          <xdr:rowOff>314325</xdr:rowOff>
        </xdr:to>
        <xdr:sp macro="" textlink="">
          <xdr:nvSpPr>
            <xdr:cNvPr id="5144" name="Drop Down 24" hidden="1">
              <a:extLst>
                <a:ext uri="{63B3BB69-23CF-44E3-9099-C40C66FF867C}">
                  <a14:compatExt spid="_x0000_s5144"/>
                </a:ext>
                <a:ext uri="{FF2B5EF4-FFF2-40B4-BE49-F238E27FC236}">
                  <a16:creationId xmlns:a16="http://schemas.microsoft.com/office/drawing/2014/main" id="{00000000-0008-0000-0300-000018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6248400</xdr:colOff>
          <xdr:row>10</xdr:row>
          <xdr:rowOff>95250</xdr:rowOff>
        </xdr:from>
        <xdr:to>
          <xdr:col>5</xdr:col>
          <xdr:colOff>9525</xdr:colOff>
          <xdr:row>10</xdr:row>
          <xdr:rowOff>295275</xdr:rowOff>
        </xdr:to>
        <xdr:sp macro="" textlink="">
          <xdr:nvSpPr>
            <xdr:cNvPr id="5145" name="Drop Down 25" hidden="1">
              <a:extLst>
                <a:ext uri="{63B3BB69-23CF-44E3-9099-C40C66FF867C}">
                  <a14:compatExt spid="_x0000_s5145"/>
                </a:ext>
                <a:ext uri="{FF2B5EF4-FFF2-40B4-BE49-F238E27FC236}">
                  <a16:creationId xmlns:a16="http://schemas.microsoft.com/office/drawing/2014/main" id="{00000000-0008-0000-0300-000019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15</xdr:row>
          <xdr:rowOff>0</xdr:rowOff>
        </xdr:from>
        <xdr:to>
          <xdr:col>6</xdr:col>
          <xdr:colOff>0</xdr:colOff>
          <xdr:row>15</xdr:row>
          <xdr:rowOff>200025</xdr:rowOff>
        </xdr:to>
        <xdr:sp macro="" textlink="">
          <xdr:nvSpPr>
            <xdr:cNvPr id="5146" name="Drop Down 26" hidden="1">
              <a:extLst>
                <a:ext uri="{63B3BB69-23CF-44E3-9099-C40C66FF867C}">
                  <a14:compatExt spid="_x0000_s5146"/>
                </a:ext>
                <a:ext uri="{FF2B5EF4-FFF2-40B4-BE49-F238E27FC236}">
                  <a16:creationId xmlns:a16="http://schemas.microsoft.com/office/drawing/2014/main" id="{00000000-0008-0000-0300-00001A1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xdr:rowOff>
        </xdr:from>
        <xdr:to>
          <xdr:col>6</xdr:col>
          <xdr:colOff>0</xdr:colOff>
          <xdr:row>3</xdr:row>
          <xdr:rowOff>219075</xdr:rowOff>
        </xdr:to>
        <xdr:sp macro="" textlink="">
          <xdr:nvSpPr>
            <xdr:cNvPr id="7171" name="Drop Down 3" hidden="1">
              <a:extLst>
                <a:ext uri="{63B3BB69-23CF-44E3-9099-C40C66FF867C}">
                  <a14:compatExt spid="_x0000_s7171"/>
                </a:ext>
                <a:ext uri="{FF2B5EF4-FFF2-40B4-BE49-F238E27FC236}">
                  <a16:creationId xmlns:a16="http://schemas.microsoft.com/office/drawing/2014/main" id="{00000000-0008-0000-0400-000003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5</xdr:row>
          <xdr:rowOff>9525</xdr:rowOff>
        </xdr:from>
        <xdr:to>
          <xdr:col>6</xdr:col>
          <xdr:colOff>0</xdr:colOff>
          <xdr:row>5</xdr:row>
          <xdr:rowOff>219075</xdr:rowOff>
        </xdr:to>
        <xdr:sp macro="" textlink="">
          <xdr:nvSpPr>
            <xdr:cNvPr id="7173" name="Drop Down 5" hidden="1">
              <a:extLst>
                <a:ext uri="{63B3BB69-23CF-44E3-9099-C40C66FF867C}">
                  <a14:compatExt spid="_x0000_s7173"/>
                </a:ext>
                <a:ext uri="{FF2B5EF4-FFF2-40B4-BE49-F238E27FC236}">
                  <a16:creationId xmlns:a16="http://schemas.microsoft.com/office/drawing/2014/main" id="{00000000-0008-0000-0400-000005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9</xdr:row>
          <xdr:rowOff>9525</xdr:rowOff>
        </xdr:from>
        <xdr:to>
          <xdr:col>6</xdr:col>
          <xdr:colOff>0</xdr:colOff>
          <xdr:row>9</xdr:row>
          <xdr:rowOff>219075</xdr:rowOff>
        </xdr:to>
        <xdr:sp macro="" textlink="">
          <xdr:nvSpPr>
            <xdr:cNvPr id="7176" name="Drop Down 8" hidden="1">
              <a:extLst>
                <a:ext uri="{63B3BB69-23CF-44E3-9099-C40C66FF867C}">
                  <a14:compatExt spid="_x0000_s7176"/>
                </a:ext>
                <a:ext uri="{FF2B5EF4-FFF2-40B4-BE49-F238E27FC236}">
                  <a16:creationId xmlns:a16="http://schemas.microsoft.com/office/drawing/2014/main" id="{00000000-0008-0000-0400-000008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10</xdr:row>
          <xdr:rowOff>9525</xdr:rowOff>
        </xdr:from>
        <xdr:to>
          <xdr:col>6</xdr:col>
          <xdr:colOff>0</xdr:colOff>
          <xdr:row>10</xdr:row>
          <xdr:rowOff>219075</xdr:rowOff>
        </xdr:to>
        <xdr:sp macro="" textlink="">
          <xdr:nvSpPr>
            <xdr:cNvPr id="7177" name="Drop Down 9" hidden="1">
              <a:extLst>
                <a:ext uri="{63B3BB69-23CF-44E3-9099-C40C66FF867C}">
                  <a14:compatExt spid="_x0000_s7177"/>
                </a:ext>
                <a:ext uri="{FF2B5EF4-FFF2-40B4-BE49-F238E27FC236}">
                  <a16:creationId xmlns:a16="http://schemas.microsoft.com/office/drawing/2014/main" id="{00000000-0008-0000-0400-000009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12</xdr:row>
          <xdr:rowOff>9525</xdr:rowOff>
        </xdr:from>
        <xdr:to>
          <xdr:col>6</xdr:col>
          <xdr:colOff>0</xdr:colOff>
          <xdr:row>13</xdr:row>
          <xdr:rowOff>19050</xdr:rowOff>
        </xdr:to>
        <xdr:sp macro="" textlink="">
          <xdr:nvSpPr>
            <xdr:cNvPr id="7178" name="Drop Down 10" hidden="1">
              <a:extLst>
                <a:ext uri="{63B3BB69-23CF-44E3-9099-C40C66FF867C}">
                  <a14:compatExt spid="_x0000_s7178"/>
                </a:ext>
                <a:ext uri="{FF2B5EF4-FFF2-40B4-BE49-F238E27FC236}">
                  <a16:creationId xmlns:a16="http://schemas.microsoft.com/office/drawing/2014/main" id="{00000000-0008-0000-0400-00000A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13</xdr:row>
          <xdr:rowOff>9525</xdr:rowOff>
        </xdr:from>
        <xdr:to>
          <xdr:col>6</xdr:col>
          <xdr:colOff>0</xdr:colOff>
          <xdr:row>13</xdr:row>
          <xdr:rowOff>219075</xdr:rowOff>
        </xdr:to>
        <xdr:sp macro="" textlink="">
          <xdr:nvSpPr>
            <xdr:cNvPr id="7179" name="Drop Down 11" hidden="1">
              <a:extLst>
                <a:ext uri="{63B3BB69-23CF-44E3-9099-C40C66FF867C}">
                  <a14:compatExt spid="_x0000_s7179"/>
                </a:ext>
                <a:ext uri="{FF2B5EF4-FFF2-40B4-BE49-F238E27FC236}">
                  <a16:creationId xmlns:a16="http://schemas.microsoft.com/office/drawing/2014/main" id="{00000000-0008-0000-0400-00000B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15</xdr:row>
          <xdr:rowOff>9525</xdr:rowOff>
        </xdr:from>
        <xdr:to>
          <xdr:col>6</xdr:col>
          <xdr:colOff>0</xdr:colOff>
          <xdr:row>15</xdr:row>
          <xdr:rowOff>219075</xdr:rowOff>
        </xdr:to>
        <xdr:sp macro="" textlink="">
          <xdr:nvSpPr>
            <xdr:cNvPr id="7180" name="Drop Down 12" hidden="1">
              <a:extLst>
                <a:ext uri="{63B3BB69-23CF-44E3-9099-C40C66FF867C}">
                  <a14:compatExt spid="_x0000_s7180"/>
                </a:ext>
                <a:ext uri="{FF2B5EF4-FFF2-40B4-BE49-F238E27FC236}">
                  <a16:creationId xmlns:a16="http://schemas.microsoft.com/office/drawing/2014/main" id="{00000000-0008-0000-0400-00000C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16</xdr:row>
          <xdr:rowOff>9525</xdr:rowOff>
        </xdr:from>
        <xdr:to>
          <xdr:col>6</xdr:col>
          <xdr:colOff>0</xdr:colOff>
          <xdr:row>16</xdr:row>
          <xdr:rowOff>219075</xdr:rowOff>
        </xdr:to>
        <xdr:sp macro="" textlink="">
          <xdr:nvSpPr>
            <xdr:cNvPr id="7181" name="Drop Down 13" hidden="1">
              <a:extLst>
                <a:ext uri="{63B3BB69-23CF-44E3-9099-C40C66FF867C}">
                  <a14:compatExt spid="_x0000_s7181"/>
                </a:ext>
                <a:ext uri="{FF2B5EF4-FFF2-40B4-BE49-F238E27FC236}">
                  <a16:creationId xmlns:a16="http://schemas.microsoft.com/office/drawing/2014/main" id="{00000000-0008-0000-0400-00000D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6</xdr:row>
          <xdr:rowOff>9525</xdr:rowOff>
        </xdr:from>
        <xdr:to>
          <xdr:col>6</xdr:col>
          <xdr:colOff>0</xdr:colOff>
          <xdr:row>6</xdr:row>
          <xdr:rowOff>219075</xdr:rowOff>
        </xdr:to>
        <xdr:sp macro="" textlink="">
          <xdr:nvSpPr>
            <xdr:cNvPr id="7182" name="Drop Down 14" hidden="1">
              <a:extLst>
                <a:ext uri="{63B3BB69-23CF-44E3-9099-C40C66FF867C}">
                  <a14:compatExt spid="_x0000_s7182"/>
                </a:ext>
                <a:ext uri="{FF2B5EF4-FFF2-40B4-BE49-F238E27FC236}">
                  <a16:creationId xmlns:a16="http://schemas.microsoft.com/office/drawing/2014/main" id="{00000000-0008-0000-0400-00000E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7</xdr:row>
          <xdr:rowOff>9525</xdr:rowOff>
        </xdr:from>
        <xdr:to>
          <xdr:col>6</xdr:col>
          <xdr:colOff>0</xdr:colOff>
          <xdr:row>7</xdr:row>
          <xdr:rowOff>219075</xdr:rowOff>
        </xdr:to>
        <xdr:sp macro="" textlink="">
          <xdr:nvSpPr>
            <xdr:cNvPr id="7184" name="Drop Down 16" hidden="1">
              <a:extLst>
                <a:ext uri="{63B3BB69-23CF-44E3-9099-C40C66FF867C}">
                  <a14:compatExt spid="_x0000_s7184"/>
                </a:ext>
                <a:ext uri="{FF2B5EF4-FFF2-40B4-BE49-F238E27FC236}">
                  <a16:creationId xmlns:a16="http://schemas.microsoft.com/office/drawing/2014/main" id="{00000000-0008-0000-0400-000010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17</xdr:row>
          <xdr:rowOff>9525</xdr:rowOff>
        </xdr:from>
        <xdr:to>
          <xdr:col>6</xdr:col>
          <xdr:colOff>0</xdr:colOff>
          <xdr:row>17</xdr:row>
          <xdr:rowOff>219075</xdr:rowOff>
        </xdr:to>
        <xdr:sp macro="" textlink="">
          <xdr:nvSpPr>
            <xdr:cNvPr id="7185" name="Drop Down 17" hidden="1">
              <a:extLst>
                <a:ext uri="{63B3BB69-23CF-44E3-9099-C40C66FF867C}">
                  <a14:compatExt spid="_x0000_s7185"/>
                </a:ext>
                <a:ext uri="{FF2B5EF4-FFF2-40B4-BE49-F238E27FC236}">
                  <a16:creationId xmlns:a16="http://schemas.microsoft.com/office/drawing/2014/main" id="{00000000-0008-0000-0400-0000111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2</xdr:row>
          <xdr:rowOff>9525</xdr:rowOff>
        </xdr:from>
        <xdr:to>
          <xdr:col>4</xdr:col>
          <xdr:colOff>1533525</xdr:colOff>
          <xdr:row>2</xdr:row>
          <xdr:rowOff>219075</xdr:rowOff>
        </xdr:to>
        <xdr:sp macro="" textlink="">
          <xdr:nvSpPr>
            <xdr:cNvPr id="8195" name="Drop Down 3" hidden="1">
              <a:extLst>
                <a:ext uri="{63B3BB69-23CF-44E3-9099-C40C66FF867C}">
                  <a14:compatExt spid="_x0000_s8195"/>
                </a:ext>
                <a:ext uri="{FF2B5EF4-FFF2-40B4-BE49-F238E27FC236}">
                  <a16:creationId xmlns:a16="http://schemas.microsoft.com/office/drawing/2014/main" id="{00000000-0008-0000-0500-00000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12</xdr:row>
          <xdr:rowOff>9525</xdr:rowOff>
        </xdr:from>
        <xdr:to>
          <xdr:col>4</xdr:col>
          <xdr:colOff>1533525</xdr:colOff>
          <xdr:row>12</xdr:row>
          <xdr:rowOff>219075</xdr:rowOff>
        </xdr:to>
        <xdr:sp macro="" textlink="">
          <xdr:nvSpPr>
            <xdr:cNvPr id="8198" name="Drop Down 6" hidden="1">
              <a:extLst>
                <a:ext uri="{63B3BB69-23CF-44E3-9099-C40C66FF867C}">
                  <a14:compatExt spid="_x0000_s8198"/>
                </a:ext>
                <a:ext uri="{FF2B5EF4-FFF2-40B4-BE49-F238E27FC236}">
                  <a16:creationId xmlns:a16="http://schemas.microsoft.com/office/drawing/2014/main" id="{00000000-0008-0000-0500-00000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3</xdr:row>
          <xdr:rowOff>9525</xdr:rowOff>
        </xdr:from>
        <xdr:to>
          <xdr:col>4</xdr:col>
          <xdr:colOff>1533525</xdr:colOff>
          <xdr:row>3</xdr:row>
          <xdr:rowOff>219075</xdr:rowOff>
        </xdr:to>
        <xdr:sp macro="" textlink="">
          <xdr:nvSpPr>
            <xdr:cNvPr id="8203" name="Drop Down 11" hidden="1">
              <a:extLst>
                <a:ext uri="{63B3BB69-23CF-44E3-9099-C40C66FF867C}">
                  <a14:compatExt spid="_x0000_s8203"/>
                </a:ext>
                <a:ext uri="{FF2B5EF4-FFF2-40B4-BE49-F238E27FC236}">
                  <a16:creationId xmlns:a16="http://schemas.microsoft.com/office/drawing/2014/main" id="{00000000-0008-0000-0500-00000B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9525</xdr:rowOff>
        </xdr:from>
        <xdr:to>
          <xdr:col>4</xdr:col>
          <xdr:colOff>1533525</xdr:colOff>
          <xdr:row>4</xdr:row>
          <xdr:rowOff>219075</xdr:rowOff>
        </xdr:to>
        <xdr:sp macro="" textlink="">
          <xdr:nvSpPr>
            <xdr:cNvPr id="8204" name="Drop Down 12" hidden="1">
              <a:extLst>
                <a:ext uri="{63B3BB69-23CF-44E3-9099-C40C66FF867C}">
                  <a14:compatExt spid="_x0000_s8204"/>
                </a:ext>
                <a:ext uri="{FF2B5EF4-FFF2-40B4-BE49-F238E27FC236}">
                  <a16:creationId xmlns:a16="http://schemas.microsoft.com/office/drawing/2014/main" id="{00000000-0008-0000-0500-00000C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5</xdr:row>
          <xdr:rowOff>9525</xdr:rowOff>
        </xdr:from>
        <xdr:to>
          <xdr:col>4</xdr:col>
          <xdr:colOff>1533525</xdr:colOff>
          <xdr:row>5</xdr:row>
          <xdr:rowOff>219075</xdr:rowOff>
        </xdr:to>
        <xdr:sp macro="" textlink="">
          <xdr:nvSpPr>
            <xdr:cNvPr id="8207" name="Drop Down 15" hidden="1">
              <a:extLst>
                <a:ext uri="{63B3BB69-23CF-44E3-9099-C40C66FF867C}">
                  <a14:compatExt spid="_x0000_s8207"/>
                </a:ext>
                <a:ext uri="{FF2B5EF4-FFF2-40B4-BE49-F238E27FC236}">
                  <a16:creationId xmlns:a16="http://schemas.microsoft.com/office/drawing/2014/main" id="{00000000-0008-0000-0500-00000F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5076825</xdr:colOff>
          <xdr:row>7</xdr:row>
          <xdr:rowOff>57150</xdr:rowOff>
        </xdr:from>
        <xdr:to>
          <xdr:col>4</xdr:col>
          <xdr:colOff>1524000</xdr:colOff>
          <xdr:row>7</xdr:row>
          <xdr:rowOff>266700</xdr:rowOff>
        </xdr:to>
        <xdr:sp macro="" textlink="">
          <xdr:nvSpPr>
            <xdr:cNvPr id="8209" name="Drop Down 17" hidden="1">
              <a:extLst>
                <a:ext uri="{63B3BB69-23CF-44E3-9099-C40C66FF867C}">
                  <a14:compatExt spid="_x0000_s8209"/>
                </a:ext>
                <a:ext uri="{FF2B5EF4-FFF2-40B4-BE49-F238E27FC236}">
                  <a16:creationId xmlns:a16="http://schemas.microsoft.com/office/drawing/2014/main" id="{00000000-0008-0000-0500-000011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8</xdr:row>
          <xdr:rowOff>28575</xdr:rowOff>
        </xdr:from>
        <xdr:to>
          <xdr:col>5</xdr:col>
          <xdr:colOff>0</xdr:colOff>
          <xdr:row>8</xdr:row>
          <xdr:rowOff>247650</xdr:rowOff>
        </xdr:to>
        <xdr:sp macro="" textlink="">
          <xdr:nvSpPr>
            <xdr:cNvPr id="8211" name="Drop Down 19" hidden="1">
              <a:extLst>
                <a:ext uri="{63B3BB69-23CF-44E3-9099-C40C66FF867C}">
                  <a14:compatExt spid="_x0000_s8211"/>
                </a:ext>
                <a:ext uri="{FF2B5EF4-FFF2-40B4-BE49-F238E27FC236}">
                  <a16:creationId xmlns:a16="http://schemas.microsoft.com/office/drawing/2014/main" id="{00000000-0008-0000-0500-000013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28575</xdr:colOff>
          <xdr:row>9</xdr:row>
          <xdr:rowOff>28575</xdr:rowOff>
        </xdr:from>
        <xdr:to>
          <xdr:col>5</xdr:col>
          <xdr:colOff>0</xdr:colOff>
          <xdr:row>9</xdr:row>
          <xdr:rowOff>238125</xdr:rowOff>
        </xdr:to>
        <xdr:sp macro="" textlink="">
          <xdr:nvSpPr>
            <xdr:cNvPr id="8213" name="Drop Down 21" hidden="1">
              <a:extLst>
                <a:ext uri="{63B3BB69-23CF-44E3-9099-C40C66FF867C}">
                  <a14:compatExt spid="_x0000_s8213"/>
                </a:ext>
                <a:ext uri="{FF2B5EF4-FFF2-40B4-BE49-F238E27FC236}">
                  <a16:creationId xmlns:a16="http://schemas.microsoft.com/office/drawing/2014/main" id="{00000000-0008-0000-0500-000015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47625</xdr:colOff>
          <xdr:row>10</xdr:row>
          <xdr:rowOff>28575</xdr:rowOff>
        </xdr:from>
        <xdr:to>
          <xdr:col>6</xdr:col>
          <xdr:colOff>19050</xdr:colOff>
          <xdr:row>10</xdr:row>
          <xdr:rowOff>238125</xdr:rowOff>
        </xdr:to>
        <xdr:sp macro="" textlink="">
          <xdr:nvSpPr>
            <xdr:cNvPr id="8214" name="Drop Down 22" hidden="1">
              <a:extLst>
                <a:ext uri="{63B3BB69-23CF-44E3-9099-C40C66FF867C}">
                  <a14:compatExt spid="_x0000_s8214"/>
                </a:ext>
                <a:ext uri="{FF2B5EF4-FFF2-40B4-BE49-F238E27FC236}">
                  <a16:creationId xmlns:a16="http://schemas.microsoft.com/office/drawing/2014/main" id="{00000000-0008-0000-0500-000016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13</xdr:row>
          <xdr:rowOff>9525</xdr:rowOff>
        </xdr:from>
        <xdr:to>
          <xdr:col>4</xdr:col>
          <xdr:colOff>1533525</xdr:colOff>
          <xdr:row>13</xdr:row>
          <xdr:rowOff>219075</xdr:rowOff>
        </xdr:to>
        <xdr:sp macro="" textlink="">
          <xdr:nvSpPr>
            <xdr:cNvPr id="8215" name="Drop Down 23" hidden="1">
              <a:extLst>
                <a:ext uri="{63B3BB69-23CF-44E3-9099-C40C66FF867C}">
                  <a14:compatExt spid="_x0000_s8215"/>
                </a:ext>
                <a:ext uri="{FF2B5EF4-FFF2-40B4-BE49-F238E27FC236}">
                  <a16:creationId xmlns:a16="http://schemas.microsoft.com/office/drawing/2014/main" id="{00000000-0008-0000-0500-000017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14</xdr:row>
          <xdr:rowOff>9525</xdr:rowOff>
        </xdr:from>
        <xdr:to>
          <xdr:col>4</xdr:col>
          <xdr:colOff>1533525</xdr:colOff>
          <xdr:row>14</xdr:row>
          <xdr:rowOff>219075</xdr:rowOff>
        </xdr:to>
        <xdr:sp macro="" textlink="">
          <xdr:nvSpPr>
            <xdr:cNvPr id="8216" name="Drop Down 24" hidden="1">
              <a:extLst>
                <a:ext uri="{63B3BB69-23CF-44E3-9099-C40C66FF867C}">
                  <a14:compatExt spid="_x0000_s8216"/>
                </a:ext>
                <a:ext uri="{FF2B5EF4-FFF2-40B4-BE49-F238E27FC236}">
                  <a16:creationId xmlns:a16="http://schemas.microsoft.com/office/drawing/2014/main" id="{00000000-0008-0000-0500-0000182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6</xdr:col>
      <xdr:colOff>1098652</xdr:colOff>
      <xdr:row>2</xdr:row>
      <xdr:rowOff>478609</xdr:rowOff>
    </xdr:from>
    <xdr:to>
      <xdr:col>6</xdr:col>
      <xdr:colOff>6712858</xdr:colOff>
      <xdr:row>8</xdr:row>
      <xdr:rowOff>141111</xdr:rowOff>
    </xdr:to>
    <xdr:graphicFrame macro="">
      <xdr:nvGraphicFramePr>
        <xdr:cNvPr id="2" name="Chart 4">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1144210</xdr:colOff>
      <xdr:row>9</xdr:row>
      <xdr:rowOff>288876</xdr:rowOff>
    </xdr:from>
    <xdr:to>
      <xdr:col>6</xdr:col>
      <xdr:colOff>6022623</xdr:colOff>
      <xdr:row>15</xdr:row>
      <xdr:rowOff>372736</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1119011</xdr:colOff>
      <xdr:row>16</xdr:row>
      <xdr:rowOff>0</xdr:rowOff>
    </xdr:from>
    <xdr:to>
      <xdr:col>6</xdr:col>
      <xdr:colOff>6578600</xdr:colOff>
      <xdr:row>23</xdr:row>
      <xdr:rowOff>22779</xdr:rowOff>
    </xdr:to>
    <xdr:graphicFrame macro="">
      <xdr:nvGraphicFramePr>
        <xdr:cNvPr id="6" name="Chart 4">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1143000</xdr:colOff>
      <xdr:row>24</xdr:row>
      <xdr:rowOff>127000</xdr:rowOff>
    </xdr:from>
    <xdr:to>
      <xdr:col>6</xdr:col>
      <xdr:colOff>6540500</xdr:colOff>
      <xdr:row>30</xdr:row>
      <xdr:rowOff>279400</xdr:rowOff>
    </xdr:to>
    <xdr:graphicFrame macro="">
      <xdr:nvGraphicFramePr>
        <xdr:cNvPr id="7" name="Chart 4">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114300</xdr:colOff>
      <xdr:row>31</xdr:row>
      <xdr:rowOff>304800</xdr:rowOff>
    </xdr:from>
    <xdr:to>
      <xdr:col>7</xdr:col>
      <xdr:colOff>12700</xdr:colOff>
      <xdr:row>40</xdr:row>
      <xdr:rowOff>88900</xdr:rowOff>
    </xdr:to>
    <xdr:graphicFrame macro="">
      <xdr:nvGraphicFramePr>
        <xdr:cNvPr id="8" name="Chart 4">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0</xdr:colOff>
      <xdr:row>4</xdr:row>
      <xdr:rowOff>139700</xdr:rowOff>
    </xdr:from>
    <xdr:to>
      <xdr:col>20</xdr:col>
      <xdr:colOff>736600</xdr:colOff>
      <xdr:row>17</xdr:row>
      <xdr:rowOff>419100</xdr:rowOff>
    </xdr:to>
    <xdr:graphicFrame macro="">
      <xdr:nvGraphicFramePr>
        <xdr:cNvPr id="9" name="Chart 4">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4</xdr:col>
      <xdr:colOff>121557</xdr:colOff>
      <xdr:row>0</xdr:row>
      <xdr:rowOff>0</xdr:rowOff>
    </xdr:from>
    <xdr:to>
      <xdr:col>4</xdr:col>
      <xdr:colOff>719273</xdr:colOff>
      <xdr:row>0</xdr:row>
      <xdr:rowOff>1025525</xdr:rowOff>
    </xdr:to>
    <xdr:pic>
      <xdr:nvPicPr>
        <xdr:cNvPr id="10" name="Afbeelding 9">
          <a:extLst>
            <a:ext uri="{FF2B5EF4-FFF2-40B4-BE49-F238E27FC236}">
              <a16:creationId xmlns:a16="http://schemas.microsoft.com/office/drawing/2014/main" id="{00000000-0008-0000-0700-00000A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6992257" y="0"/>
          <a:ext cx="580571" cy="1016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0-03-04T10:24:38.841"/>
    </inkml:context>
    <inkml:brush xml:id="br0">
      <inkml:brushProperty name="width" value="0.05" units="cm"/>
      <inkml:brushProperty name="height" value="0.05" units="cm"/>
      <inkml:brushProperty name="color" value="#E71224"/>
    </inkml:brush>
  </inkml:definitions>
  <inkml:trace contextRef="#ctx0" brushRef="#br0">1 14 24575,'10'-4'0,"0"1"0,-4 0 0,1 2 0,-3-2 0,-1 3 0</inkml:trace>
</inkml:ink>
</file>

<file path=xl/persons/person.xml><?xml version="1.0" encoding="utf-8"?>
<personList xmlns="http://schemas.microsoft.com/office/spreadsheetml/2018/threadedcomments" xmlns:x="http://schemas.openxmlformats.org/spreadsheetml/2006/main">
  <person displayName="Ruud Bohmer" id="{0807DD4B-7D3B-FE49-91F3-A9E35B90BB48}" userId="S::ruud.bohmer@ictu.nl::7edcbf95-5fc9-4f5e-8e6c-bfb7bda62544"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 dT="2020-04-28T07:56:37.29" personId="{0807DD4B-7D3B-FE49-91F3-A9E35B90BB48}" id="{756C3E08-52EC-4043-A4EF-984D25589D90}">
    <text>1=ja, 2=nee, 3=aanpassing, 4=later, 5=nieuw</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0-04-28T07:56:18.01" personId="{0807DD4B-7D3B-FE49-91F3-A9E35B90BB48}" id="{60ACC834-E17B-7F43-9BE1-2D2491A22F8D}">
    <text>1=ja, 2=nee, 3=aanpassing, 4=later, 5=nieuw</text>
  </threadedComment>
</ThreadedComments>
</file>

<file path=xl/threadedComments/threadedComment3.xml><?xml version="1.0" encoding="utf-8"?>
<ThreadedComments xmlns="http://schemas.microsoft.com/office/spreadsheetml/2018/threadedcomments" xmlns:x="http://schemas.openxmlformats.org/spreadsheetml/2006/main">
  <threadedComment ref="F1" dT="2020-04-28T07:55:55.42" personId="{0807DD4B-7D3B-FE49-91F3-A9E35B90BB48}" id="{43B1CE6E-A801-C64F-8847-E87A73EDAFB2}">
    <text>1=ja, 2=nee, 3=aanpassing, 4=later, 5=nieuw</text>
  </threadedComment>
</ThreadedComments>
</file>

<file path=xl/threadedComments/threadedComment4.xml><?xml version="1.0" encoding="utf-8"?>
<ThreadedComments xmlns="http://schemas.microsoft.com/office/spreadsheetml/2018/threadedcomments" xmlns:x="http://schemas.openxmlformats.org/spreadsheetml/2006/main">
  <threadedComment ref="F1" dT="2020-05-04T15:16:34.28" personId="{0807DD4B-7D3B-FE49-91F3-A9E35B90BB48}" id="{6800970E-0A3D-FD42-B863-76941D98E7E8}">
    <text>1=ja, 2=nee, 3=aanpassing, 4=later, 5=nieuw</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26" Type="http://schemas.microsoft.com/office/2017/10/relationships/threadedComment" Target="../threadedComments/threadedComment1.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omments" Target="../comments1.xml"/><Relationship Id="rId2" Type="http://schemas.openxmlformats.org/officeDocument/2006/relationships/drawing" Target="../drawings/drawing2.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27.xml"/><Relationship Id="rId13" Type="http://schemas.openxmlformats.org/officeDocument/2006/relationships/ctrlProp" Target="../ctrlProps/ctrlProp32.xml"/><Relationship Id="rId18" Type="http://schemas.microsoft.com/office/2017/10/relationships/threadedComment" Target="../threadedComments/threadedComment2.xml"/><Relationship Id="rId3" Type="http://schemas.openxmlformats.org/officeDocument/2006/relationships/ctrlProp" Target="../ctrlProps/ctrlProp22.xml"/><Relationship Id="rId7" Type="http://schemas.openxmlformats.org/officeDocument/2006/relationships/ctrlProp" Target="../ctrlProps/ctrlProp26.xml"/><Relationship Id="rId12" Type="http://schemas.openxmlformats.org/officeDocument/2006/relationships/ctrlProp" Target="../ctrlProps/ctrlProp31.xml"/><Relationship Id="rId17" Type="http://schemas.openxmlformats.org/officeDocument/2006/relationships/comments" Target="../comments2.xml"/><Relationship Id="rId2" Type="http://schemas.openxmlformats.org/officeDocument/2006/relationships/vmlDrawing" Target="../drawings/vmlDrawing2.vml"/><Relationship Id="rId16" Type="http://schemas.openxmlformats.org/officeDocument/2006/relationships/ctrlProp" Target="../ctrlProps/ctrlProp35.xml"/><Relationship Id="rId1" Type="http://schemas.openxmlformats.org/officeDocument/2006/relationships/drawing" Target="../drawings/drawing3.xml"/><Relationship Id="rId6" Type="http://schemas.openxmlformats.org/officeDocument/2006/relationships/ctrlProp" Target="../ctrlProps/ctrlProp25.xml"/><Relationship Id="rId11" Type="http://schemas.openxmlformats.org/officeDocument/2006/relationships/ctrlProp" Target="../ctrlProps/ctrlProp30.xml"/><Relationship Id="rId5" Type="http://schemas.openxmlformats.org/officeDocument/2006/relationships/ctrlProp" Target="../ctrlProps/ctrlProp24.xml"/><Relationship Id="rId15" Type="http://schemas.openxmlformats.org/officeDocument/2006/relationships/ctrlProp" Target="../ctrlProps/ctrlProp34.xml"/><Relationship Id="rId10" Type="http://schemas.openxmlformats.org/officeDocument/2006/relationships/ctrlProp" Target="../ctrlProps/ctrlProp29.xml"/><Relationship Id="rId4" Type="http://schemas.openxmlformats.org/officeDocument/2006/relationships/ctrlProp" Target="../ctrlProps/ctrlProp23.xml"/><Relationship Id="rId9" Type="http://schemas.openxmlformats.org/officeDocument/2006/relationships/ctrlProp" Target="../ctrlProps/ctrlProp28.xml"/><Relationship Id="rId14" Type="http://schemas.openxmlformats.org/officeDocument/2006/relationships/ctrlProp" Target="../ctrlProps/ctrlProp33.xml"/></Relationships>
</file>

<file path=xl/worksheets/_rels/sheet4.xml.rels><?xml version="1.0" encoding="UTF-8" standalone="yes"?>
<Relationships xmlns="http://schemas.openxmlformats.org/package/2006/relationships"><Relationship Id="rId8" Type="http://schemas.openxmlformats.org/officeDocument/2006/relationships/ctrlProp" Target="../ctrlProps/ctrlProp41.xml"/><Relationship Id="rId13" Type="http://schemas.openxmlformats.org/officeDocument/2006/relationships/ctrlProp" Target="../ctrlProps/ctrlProp46.xml"/><Relationship Id="rId3" Type="http://schemas.openxmlformats.org/officeDocument/2006/relationships/ctrlProp" Target="../ctrlProps/ctrlProp36.xml"/><Relationship Id="rId7" Type="http://schemas.openxmlformats.org/officeDocument/2006/relationships/ctrlProp" Target="../ctrlProps/ctrlProp40.xml"/><Relationship Id="rId12" Type="http://schemas.openxmlformats.org/officeDocument/2006/relationships/ctrlProp" Target="../ctrlProps/ctrlProp45.xml"/><Relationship Id="rId2" Type="http://schemas.openxmlformats.org/officeDocument/2006/relationships/vmlDrawing" Target="../drawings/vmlDrawing3.vml"/><Relationship Id="rId1" Type="http://schemas.openxmlformats.org/officeDocument/2006/relationships/drawing" Target="../drawings/drawing4.xml"/><Relationship Id="rId6" Type="http://schemas.openxmlformats.org/officeDocument/2006/relationships/ctrlProp" Target="../ctrlProps/ctrlProp39.xml"/><Relationship Id="rId11" Type="http://schemas.openxmlformats.org/officeDocument/2006/relationships/ctrlProp" Target="../ctrlProps/ctrlProp44.xml"/><Relationship Id="rId5" Type="http://schemas.openxmlformats.org/officeDocument/2006/relationships/ctrlProp" Target="../ctrlProps/ctrlProp38.xml"/><Relationship Id="rId15" Type="http://schemas.microsoft.com/office/2017/10/relationships/threadedComment" Target="../threadedComments/threadedComment3.xml"/><Relationship Id="rId10" Type="http://schemas.openxmlformats.org/officeDocument/2006/relationships/ctrlProp" Target="../ctrlProps/ctrlProp43.xml"/><Relationship Id="rId4" Type="http://schemas.openxmlformats.org/officeDocument/2006/relationships/ctrlProp" Target="../ctrlProps/ctrlProp37.xml"/><Relationship Id="rId9" Type="http://schemas.openxmlformats.org/officeDocument/2006/relationships/ctrlProp" Target="../ctrlProps/ctrlProp42.xml"/><Relationship Id="rId1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2.xml"/><Relationship Id="rId13" Type="http://schemas.openxmlformats.org/officeDocument/2006/relationships/ctrlProp" Target="../ctrlProps/ctrlProp57.xml"/><Relationship Id="rId3" Type="http://schemas.openxmlformats.org/officeDocument/2006/relationships/ctrlProp" Target="../ctrlProps/ctrlProp47.xml"/><Relationship Id="rId7" Type="http://schemas.openxmlformats.org/officeDocument/2006/relationships/ctrlProp" Target="../ctrlProps/ctrlProp51.xml"/><Relationship Id="rId12" Type="http://schemas.openxmlformats.org/officeDocument/2006/relationships/ctrlProp" Target="../ctrlProps/ctrlProp56.xml"/><Relationship Id="rId2" Type="http://schemas.openxmlformats.org/officeDocument/2006/relationships/vmlDrawing" Target="../drawings/vmlDrawing4.vml"/><Relationship Id="rId1" Type="http://schemas.openxmlformats.org/officeDocument/2006/relationships/drawing" Target="../drawings/drawing5.xml"/><Relationship Id="rId6" Type="http://schemas.openxmlformats.org/officeDocument/2006/relationships/ctrlProp" Target="../ctrlProps/ctrlProp50.xml"/><Relationship Id="rId11" Type="http://schemas.openxmlformats.org/officeDocument/2006/relationships/ctrlProp" Target="../ctrlProps/ctrlProp55.xml"/><Relationship Id="rId5" Type="http://schemas.openxmlformats.org/officeDocument/2006/relationships/ctrlProp" Target="../ctrlProps/ctrlProp49.xml"/><Relationship Id="rId10" Type="http://schemas.openxmlformats.org/officeDocument/2006/relationships/ctrlProp" Target="../ctrlProps/ctrlProp54.xml"/><Relationship Id="rId4" Type="http://schemas.openxmlformats.org/officeDocument/2006/relationships/ctrlProp" Target="../ctrlProps/ctrlProp48.xml"/><Relationship Id="rId9" Type="http://schemas.openxmlformats.org/officeDocument/2006/relationships/ctrlProp" Target="../ctrlProps/ctrlProp53.xml"/></Relationships>
</file>

<file path=xl/worksheets/_rels/sheet6.xml.rels><?xml version="1.0" encoding="UTF-8" standalone="yes"?>
<Relationships xmlns="http://schemas.openxmlformats.org/package/2006/relationships"><Relationship Id="rId8" Type="http://schemas.openxmlformats.org/officeDocument/2006/relationships/ctrlProp" Target="../ctrlProps/ctrlProp63.xml"/><Relationship Id="rId13" Type="http://schemas.openxmlformats.org/officeDocument/2006/relationships/ctrlProp" Target="../ctrlProps/ctrlProp68.xml"/><Relationship Id="rId3" Type="http://schemas.openxmlformats.org/officeDocument/2006/relationships/ctrlProp" Target="../ctrlProps/ctrlProp58.xml"/><Relationship Id="rId7" Type="http://schemas.openxmlformats.org/officeDocument/2006/relationships/ctrlProp" Target="../ctrlProps/ctrlProp62.xml"/><Relationship Id="rId12" Type="http://schemas.openxmlformats.org/officeDocument/2006/relationships/ctrlProp" Target="../ctrlProps/ctrlProp67.xml"/><Relationship Id="rId2" Type="http://schemas.openxmlformats.org/officeDocument/2006/relationships/vmlDrawing" Target="../drawings/vmlDrawing5.vml"/><Relationship Id="rId1" Type="http://schemas.openxmlformats.org/officeDocument/2006/relationships/drawing" Target="../drawings/drawing6.xml"/><Relationship Id="rId6" Type="http://schemas.openxmlformats.org/officeDocument/2006/relationships/ctrlProp" Target="../ctrlProps/ctrlProp61.xml"/><Relationship Id="rId11" Type="http://schemas.openxmlformats.org/officeDocument/2006/relationships/ctrlProp" Target="../ctrlProps/ctrlProp66.xml"/><Relationship Id="rId5" Type="http://schemas.openxmlformats.org/officeDocument/2006/relationships/ctrlProp" Target="../ctrlProps/ctrlProp60.xml"/><Relationship Id="rId15" Type="http://schemas.microsoft.com/office/2017/10/relationships/threadedComment" Target="../threadedComments/threadedComment4.xml"/><Relationship Id="rId10" Type="http://schemas.openxmlformats.org/officeDocument/2006/relationships/ctrlProp" Target="../ctrlProps/ctrlProp65.xml"/><Relationship Id="rId4" Type="http://schemas.openxmlformats.org/officeDocument/2006/relationships/ctrlProp" Target="../ctrlProps/ctrlProp59.xml"/><Relationship Id="rId9" Type="http://schemas.openxmlformats.org/officeDocument/2006/relationships/ctrlProp" Target="../ctrlProps/ctrlProp64.xml"/><Relationship Id="rId1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9"/>
  <sheetViews>
    <sheetView zoomScale="90" zoomScaleNormal="90" workbookViewId="0"/>
  </sheetViews>
  <sheetFormatPr defaultColWidth="11" defaultRowHeight="15.75"/>
  <cols>
    <col min="1" max="1" width="17" style="124" customWidth="1"/>
    <col min="2" max="16" width="11" style="124"/>
  </cols>
  <sheetData>
    <row r="1" spans="1:16" ht="21">
      <c r="A1" s="139" t="s">
        <v>418</v>
      </c>
      <c r="B1" s="285"/>
      <c r="C1" s="286"/>
      <c r="D1" s="286"/>
      <c r="E1" s="286"/>
      <c r="F1" s="286"/>
      <c r="G1" s="286"/>
      <c r="H1" s="286"/>
      <c r="I1" s="286"/>
      <c r="J1" s="286"/>
      <c r="K1" s="286"/>
      <c r="L1" s="286"/>
      <c r="M1" s="286"/>
      <c r="N1" s="286"/>
      <c r="O1" s="287"/>
    </row>
    <row r="2" spans="1:16" ht="21">
      <c r="A2" s="139" t="s">
        <v>230</v>
      </c>
      <c r="B2" s="285"/>
      <c r="C2" s="286"/>
      <c r="D2" s="286"/>
      <c r="E2" s="286"/>
      <c r="F2" s="286"/>
      <c r="G2" s="286"/>
      <c r="H2" s="286"/>
      <c r="I2" s="286"/>
      <c r="J2" s="286"/>
      <c r="K2" s="286"/>
      <c r="L2" s="286"/>
      <c r="M2" s="286"/>
      <c r="N2" s="286"/>
      <c r="O2" s="287"/>
    </row>
    <row r="3" spans="1:16" ht="21">
      <c r="A3" s="139" t="s">
        <v>231</v>
      </c>
      <c r="B3" s="288"/>
      <c r="C3" s="289"/>
      <c r="D3" s="289"/>
      <c r="E3" s="289"/>
      <c r="F3" s="289"/>
      <c r="G3" s="289"/>
      <c r="H3" s="289"/>
      <c r="I3" s="289"/>
      <c r="J3" s="289"/>
      <c r="K3" s="289"/>
      <c r="L3" s="289"/>
      <c r="M3" s="289"/>
      <c r="N3" s="289"/>
      <c r="O3" s="290"/>
    </row>
    <row r="5" spans="1:16" ht="16.5" thickBot="1">
      <c r="A5"/>
    </row>
    <row r="6" spans="1:16" ht="15" customHeight="1">
      <c r="A6" s="128"/>
      <c r="B6" s="129"/>
      <c r="C6" s="129"/>
      <c r="D6" s="129"/>
      <c r="E6" s="129"/>
      <c r="F6" s="129"/>
      <c r="G6" s="129"/>
      <c r="H6" s="129"/>
      <c r="I6" s="129"/>
      <c r="J6" s="129"/>
      <c r="K6" s="129"/>
      <c r="L6" s="129"/>
      <c r="M6" s="129"/>
      <c r="N6" s="129"/>
      <c r="O6" s="129"/>
      <c r="P6" s="130"/>
    </row>
    <row r="7" spans="1:16">
      <c r="A7" s="131"/>
      <c r="B7" s="132"/>
      <c r="C7" s="132"/>
      <c r="D7" s="132"/>
      <c r="E7" s="132"/>
      <c r="F7" s="132"/>
      <c r="G7" s="132"/>
      <c r="H7" s="132"/>
      <c r="I7" s="132"/>
      <c r="J7" s="132"/>
      <c r="K7" s="132"/>
      <c r="L7" s="132"/>
      <c r="M7" s="132"/>
      <c r="N7" s="132"/>
      <c r="O7" s="132"/>
      <c r="P7" s="133"/>
    </row>
    <row r="8" spans="1:16">
      <c r="A8" s="131"/>
      <c r="B8" s="132"/>
      <c r="C8" s="132"/>
      <c r="D8" s="132"/>
      <c r="E8" s="132"/>
      <c r="F8" s="132"/>
      <c r="G8" s="132"/>
      <c r="H8" s="132"/>
      <c r="I8" s="132"/>
      <c r="J8" s="132"/>
      <c r="K8" s="132"/>
      <c r="L8" s="132"/>
      <c r="M8" s="132"/>
      <c r="N8" s="132"/>
      <c r="O8" s="132"/>
      <c r="P8" s="133"/>
    </row>
    <row r="9" spans="1:16">
      <c r="A9" s="131"/>
      <c r="B9" s="132"/>
      <c r="C9" s="132"/>
      <c r="D9" s="132"/>
      <c r="E9" s="132"/>
      <c r="F9" s="132"/>
      <c r="G9" s="132"/>
      <c r="H9" s="132"/>
      <c r="I9" s="132"/>
      <c r="J9" s="132"/>
      <c r="K9" s="132"/>
      <c r="L9" s="132"/>
      <c r="M9" s="132"/>
      <c r="N9" s="132"/>
      <c r="O9" s="132"/>
      <c r="P9" s="133"/>
    </row>
    <row r="10" spans="1:16">
      <c r="A10" s="131"/>
      <c r="B10" s="132"/>
      <c r="C10" s="132"/>
      <c r="D10" s="132"/>
      <c r="E10" s="132"/>
      <c r="F10" s="132"/>
      <c r="G10" s="132"/>
      <c r="H10" s="132"/>
      <c r="I10" s="132"/>
      <c r="J10" s="132"/>
      <c r="K10" s="132"/>
      <c r="L10" s="132"/>
      <c r="M10" s="132"/>
      <c r="N10" s="132"/>
      <c r="O10" s="132"/>
      <c r="P10" s="133"/>
    </row>
    <row r="11" spans="1:16">
      <c r="A11" s="131"/>
      <c r="B11" s="132"/>
      <c r="C11" s="132"/>
      <c r="D11" s="132"/>
      <c r="E11" s="132"/>
      <c r="F11" s="132"/>
      <c r="G11" s="132"/>
      <c r="H11" s="132"/>
      <c r="I11" s="132"/>
      <c r="J11" s="132"/>
      <c r="K11" s="132"/>
      <c r="L11" s="132"/>
      <c r="M11" s="132"/>
      <c r="N11" s="132"/>
      <c r="O11" s="132"/>
      <c r="P11" s="133"/>
    </row>
    <row r="12" spans="1:16">
      <c r="A12" s="131"/>
      <c r="B12" s="132"/>
      <c r="C12" s="132"/>
      <c r="D12" s="132"/>
      <c r="E12" s="132"/>
      <c r="F12" s="132"/>
      <c r="G12" s="132"/>
      <c r="H12" s="132"/>
      <c r="I12" s="132"/>
      <c r="J12" s="132"/>
      <c r="K12" s="132"/>
      <c r="L12" s="132"/>
      <c r="M12" s="132"/>
      <c r="N12" s="132"/>
      <c r="O12" s="132"/>
      <c r="P12" s="133"/>
    </row>
    <row r="13" spans="1:16">
      <c r="A13" s="131"/>
      <c r="B13" s="132"/>
      <c r="C13" s="132"/>
      <c r="D13" s="132"/>
      <c r="E13" s="132"/>
      <c r="F13" s="132"/>
      <c r="G13" s="132"/>
      <c r="H13" s="132"/>
      <c r="I13" s="132"/>
      <c r="J13" s="132"/>
      <c r="K13" s="132"/>
      <c r="L13" s="132"/>
      <c r="M13" s="132"/>
      <c r="N13" s="132"/>
      <c r="O13" s="132"/>
      <c r="P13" s="133"/>
    </row>
    <row r="14" spans="1:16">
      <c r="A14" s="131"/>
      <c r="B14" s="132"/>
      <c r="C14" s="132"/>
      <c r="D14" s="132"/>
      <c r="E14" s="132"/>
      <c r="F14" s="132"/>
      <c r="G14" s="132"/>
      <c r="H14" s="132"/>
      <c r="I14" s="132"/>
      <c r="J14" s="132"/>
      <c r="K14" s="132"/>
      <c r="L14" s="132"/>
      <c r="M14" s="132"/>
      <c r="N14" s="132"/>
      <c r="O14" s="132"/>
      <c r="P14" s="133"/>
    </row>
    <row r="15" spans="1:16">
      <c r="A15" s="131"/>
      <c r="B15" s="132"/>
      <c r="C15" s="132"/>
      <c r="D15" s="132"/>
      <c r="E15" s="132"/>
      <c r="F15" s="132"/>
      <c r="G15" s="132"/>
      <c r="H15" s="132"/>
      <c r="I15" s="132"/>
      <c r="J15" s="132"/>
      <c r="K15" s="132"/>
      <c r="L15" s="132"/>
      <c r="M15" s="132"/>
      <c r="N15" s="132"/>
      <c r="O15" s="132"/>
      <c r="P15" s="133"/>
    </row>
    <row r="16" spans="1:16">
      <c r="A16" s="131"/>
      <c r="B16" s="132"/>
      <c r="C16" s="132"/>
      <c r="D16" s="132"/>
      <c r="E16" s="132"/>
      <c r="F16" s="132"/>
      <c r="G16" s="132"/>
      <c r="H16" s="132"/>
      <c r="I16" s="132"/>
      <c r="J16" s="132"/>
      <c r="K16" s="132"/>
      <c r="L16" s="132"/>
      <c r="M16" s="132"/>
      <c r="N16" s="132"/>
      <c r="O16" s="132"/>
      <c r="P16" s="133"/>
    </row>
    <row r="17" spans="1:16">
      <c r="A17" s="131"/>
      <c r="B17" s="132"/>
      <c r="C17" s="132"/>
      <c r="D17" s="132"/>
      <c r="E17" s="132"/>
      <c r="F17" s="132"/>
      <c r="G17" s="132"/>
      <c r="H17" s="132"/>
      <c r="I17" s="132"/>
      <c r="J17" s="132"/>
      <c r="K17" s="132"/>
      <c r="L17" s="132"/>
      <c r="M17" s="132"/>
      <c r="N17" s="132"/>
      <c r="O17" s="132"/>
      <c r="P17" s="133"/>
    </row>
    <row r="18" spans="1:16">
      <c r="A18" s="131"/>
      <c r="B18" s="132"/>
      <c r="C18" s="132"/>
      <c r="D18" s="132"/>
      <c r="E18" s="132"/>
      <c r="F18" s="132"/>
      <c r="G18" s="132"/>
      <c r="H18" s="132"/>
      <c r="I18" s="132"/>
      <c r="J18" s="132"/>
      <c r="K18" s="132"/>
      <c r="L18" s="132"/>
      <c r="M18" s="132"/>
      <c r="N18" s="132"/>
      <c r="O18" s="132"/>
      <c r="P18" s="133"/>
    </row>
    <row r="19" spans="1:16">
      <c r="A19" s="131"/>
      <c r="B19" s="132"/>
      <c r="C19" s="132"/>
      <c r="D19" s="132"/>
      <c r="E19" s="132"/>
      <c r="F19" s="132"/>
      <c r="G19" s="132"/>
      <c r="H19" s="132"/>
      <c r="I19" s="132"/>
      <c r="J19" s="132"/>
      <c r="K19" s="132"/>
      <c r="L19" s="132"/>
      <c r="M19" s="132"/>
      <c r="N19" s="132"/>
      <c r="O19" s="132"/>
      <c r="P19" s="133"/>
    </row>
    <row r="20" spans="1:16">
      <c r="A20" s="131"/>
      <c r="B20" s="132"/>
      <c r="C20" s="132"/>
      <c r="D20" s="132"/>
      <c r="E20" s="132"/>
      <c r="F20" s="132"/>
      <c r="G20" s="132"/>
      <c r="H20" s="132"/>
      <c r="I20" s="132"/>
      <c r="J20" s="132"/>
      <c r="K20" s="132"/>
      <c r="L20" s="132"/>
      <c r="M20" s="132"/>
      <c r="N20" s="132"/>
      <c r="O20" s="132"/>
      <c r="P20" s="133"/>
    </row>
    <row r="21" spans="1:16">
      <c r="A21" s="131"/>
      <c r="B21" s="132"/>
      <c r="C21" s="132"/>
      <c r="D21" s="132"/>
      <c r="E21" s="132"/>
      <c r="F21" s="132"/>
      <c r="G21" s="132"/>
      <c r="H21" s="132"/>
      <c r="I21" s="132"/>
      <c r="J21" s="132"/>
      <c r="K21" s="132"/>
      <c r="L21" s="132"/>
      <c r="M21" s="132"/>
      <c r="N21" s="132"/>
      <c r="O21" s="132"/>
      <c r="P21" s="133"/>
    </row>
    <row r="22" spans="1:16">
      <c r="A22" s="131"/>
      <c r="B22" s="132"/>
      <c r="C22" s="132"/>
      <c r="D22" s="132"/>
      <c r="E22" s="132"/>
      <c r="F22" s="132"/>
      <c r="G22" s="132"/>
      <c r="H22" s="132"/>
      <c r="I22" s="132"/>
      <c r="J22" s="132"/>
      <c r="K22" s="132"/>
      <c r="L22" s="132"/>
      <c r="M22" s="132"/>
      <c r="N22" s="132"/>
      <c r="O22" s="132"/>
      <c r="P22" s="133"/>
    </row>
    <row r="23" spans="1:16">
      <c r="A23" s="131"/>
      <c r="B23" s="132"/>
      <c r="C23" s="132"/>
      <c r="D23" s="132"/>
      <c r="E23" s="132"/>
      <c r="F23" s="132"/>
      <c r="G23" s="132"/>
      <c r="H23" s="132"/>
      <c r="I23" s="132"/>
      <c r="J23" s="132"/>
      <c r="K23" s="132"/>
      <c r="L23" s="132"/>
      <c r="M23" s="132"/>
      <c r="N23" s="132"/>
      <c r="O23" s="132"/>
      <c r="P23" s="133"/>
    </row>
    <row r="24" spans="1:16">
      <c r="A24" s="131"/>
      <c r="B24" s="132"/>
      <c r="C24" s="132"/>
      <c r="D24" s="132"/>
      <c r="E24" s="132"/>
      <c r="F24" s="132"/>
      <c r="G24" s="132"/>
      <c r="H24" s="132"/>
      <c r="I24" s="132"/>
      <c r="J24" s="132"/>
      <c r="K24" s="132"/>
      <c r="L24" s="132"/>
      <c r="M24" s="132"/>
      <c r="N24" s="132"/>
      <c r="O24" s="132"/>
      <c r="P24" s="133"/>
    </row>
    <row r="25" spans="1:16">
      <c r="A25" s="131"/>
      <c r="B25" s="132"/>
      <c r="C25" s="132"/>
      <c r="D25" s="132"/>
      <c r="E25" s="132"/>
      <c r="F25" s="132"/>
      <c r="G25" s="132"/>
      <c r="H25" s="132"/>
      <c r="I25" s="132"/>
      <c r="J25" s="132"/>
      <c r="K25" s="132"/>
      <c r="L25" s="132"/>
      <c r="M25" s="132"/>
      <c r="N25" s="132"/>
      <c r="O25" s="132"/>
      <c r="P25" s="133"/>
    </row>
    <row r="26" spans="1:16">
      <c r="A26" s="131"/>
      <c r="B26" s="132"/>
      <c r="C26" s="132"/>
      <c r="D26" s="132"/>
      <c r="E26" s="132"/>
      <c r="F26" s="132"/>
      <c r="G26" s="132"/>
      <c r="H26" s="132"/>
      <c r="I26" s="132"/>
      <c r="J26" s="132"/>
      <c r="K26" s="132"/>
      <c r="L26" s="132"/>
      <c r="M26" s="132"/>
      <c r="N26" s="132"/>
      <c r="O26" s="132"/>
      <c r="P26" s="133"/>
    </row>
    <row r="27" spans="1:16">
      <c r="A27" s="131"/>
      <c r="B27" s="132"/>
      <c r="C27" s="132"/>
      <c r="D27" s="132"/>
      <c r="E27" s="132"/>
      <c r="F27" s="132"/>
      <c r="G27" s="132"/>
      <c r="H27" s="132"/>
      <c r="I27" s="132"/>
      <c r="J27" s="132"/>
      <c r="K27" s="132"/>
      <c r="L27" s="132"/>
      <c r="M27" s="132"/>
      <c r="N27" s="132"/>
      <c r="O27" s="132"/>
      <c r="P27" s="133"/>
    </row>
    <row r="28" spans="1:16">
      <c r="A28" s="131"/>
      <c r="B28" s="132"/>
      <c r="C28" s="132"/>
      <c r="D28" s="132"/>
      <c r="E28" s="132"/>
      <c r="F28" s="132"/>
      <c r="G28" s="132"/>
      <c r="H28" s="132"/>
      <c r="I28" s="132"/>
      <c r="J28" s="132"/>
      <c r="K28" s="132"/>
      <c r="L28" s="132"/>
      <c r="M28" s="132"/>
      <c r="N28" s="132"/>
      <c r="O28" s="132"/>
      <c r="P28" s="133"/>
    </row>
    <row r="29" spans="1:16">
      <c r="A29" s="131"/>
      <c r="B29" s="132"/>
      <c r="C29" s="132"/>
      <c r="D29" s="132"/>
      <c r="E29" s="132"/>
      <c r="F29" s="132"/>
      <c r="G29" s="132"/>
      <c r="H29" s="132"/>
      <c r="I29" s="132"/>
      <c r="J29" s="132"/>
      <c r="K29" s="132"/>
      <c r="L29" s="132"/>
      <c r="M29" s="132"/>
      <c r="N29" s="132"/>
      <c r="O29" s="132"/>
      <c r="P29" s="133"/>
    </row>
    <row r="30" spans="1:16">
      <c r="A30" s="131"/>
      <c r="B30" s="132"/>
      <c r="C30" s="132"/>
      <c r="D30" s="132"/>
      <c r="E30" s="132"/>
      <c r="F30" s="132"/>
      <c r="G30" s="132"/>
      <c r="H30" s="132"/>
      <c r="I30" s="132"/>
      <c r="J30" s="132"/>
      <c r="K30" s="132"/>
      <c r="L30" s="132"/>
      <c r="M30" s="132"/>
      <c r="N30" s="132"/>
      <c r="O30" s="132"/>
      <c r="P30" s="133"/>
    </row>
    <row r="31" spans="1:16" ht="21.75" thickBot="1">
      <c r="A31" s="134"/>
      <c r="B31" s="135"/>
      <c r="C31" s="135"/>
      <c r="D31" s="135"/>
      <c r="E31" s="135"/>
      <c r="F31" s="135"/>
      <c r="G31" s="137" t="s">
        <v>235</v>
      </c>
      <c r="H31" s="135"/>
      <c r="I31" s="135"/>
      <c r="J31" s="135"/>
      <c r="K31" s="135"/>
      <c r="L31" s="135"/>
      <c r="M31" s="135"/>
      <c r="N31" s="135"/>
      <c r="O31" s="135"/>
      <c r="P31" s="136"/>
    </row>
    <row r="32" spans="1:16">
      <c r="A32" s="131"/>
      <c r="B32" s="132"/>
      <c r="C32" s="132"/>
      <c r="D32" s="132"/>
      <c r="E32" s="132"/>
      <c r="F32" s="132"/>
      <c r="G32" s="132"/>
      <c r="H32" s="132"/>
      <c r="I32" s="132"/>
      <c r="J32" s="132"/>
      <c r="K32" s="132"/>
      <c r="L32" s="132"/>
      <c r="M32" s="132"/>
      <c r="N32" s="132"/>
      <c r="O32" s="132"/>
      <c r="P32" s="133"/>
    </row>
    <row r="33" spans="1:16">
      <c r="A33" s="131"/>
      <c r="B33" s="132"/>
      <c r="C33" s="132"/>
      <c r="D33" s="132"/>
      <c r="E33" s="132"/>
      <c r="F33" s="132"/>
      <c r="G33" s="132"/>
      <c r="H33" s="132"/>
      <c r="I33" s="132"/>
      <c r="J33" s="132"/>
      <c r="K33" s="132"/>
      <c r="L33" s="132"/>
      <c r="M33" s="132"/>
      <c r="N33" s="132"/>
      <c r="O33" s="132"/>
      <c r="P33" s="133"/>
    </row>
    <row r="34" spans="1:16">
      <c r="A34" s="131"/>
      <c r="B34" s="132"/>
      <c r="C34" s="132"/>
      <c r="D34" s="132"/>
      <c r="E34" s="132"/>
      <c r="F34" s="132"/>
      <c r="G34" s="132"/>
      <c r="H34" s="132"/>
      <c r="I34" s="132"/>
      <c r="J34" s="132"/>
      <c r="K34" s="132"/>
      <c r="L34" s="132"/>
      <c r="M34" s="132"/>
      <c r="N34" s="132"/>
      <c r="O34" s="132"/>
      <c r="P34" s="133"/>
    </row>
    <row r="35" spans="1:16">
      <c r="A35" s="131"/>
      <c r="B35" s="132"/>
      <c r="C35" s="132"/>
      <c r="D35" s="132"/>
      <c r="E35" s="132"/>
      <c r="F35" s="132"/>
      <c r="G35" s="132"/>
      <c r="H35" s="132"/>
      <c r="I35" s="132"/>
      <c r="J35" s="132"/>
      <c r="K35" s="132"/>
      <c r="L35" s="132"/>
      <c r="M35" s="132"/>
      <c r="N35" s="132"/>
      <c r="O35" s="132"/>
      <c r="P35" s="133"/>
    </row>
    <row r="36" spans="1:16">
      <c r="A36" s="131"/>
      <c r="B36" s="132"/>
      <c r="C36" s="132"/>
      <c r="D36" s="132"/>
      <c r="E36" s="132"/>
      <c r="F36" s="132"/>
      <c r="G36" s="132"/>
      <c r="H36" s="132"/>
      <c r="I36" s="132"/>
      <c r="J36" s="132"/>
      <c r="K36" s="132"/>
      <c r="L36" s="132"/>
      <c r="M36" s="132"/>
      <c r="N36" s="132"/>
      <c r="O36" s="132"/>
      <c r="P36" s="133"/>
    </row>
    <row r="37" spans="1:16">
      <c r="A37" s="131"/>
      <c r="B37" s="132"/>
      <c r="C37" s="132"/>
      <c r="D37" s="132"/>
      <c r="E37" s="132"/>
      <c r="F37" s="132"/>
      <c r="G37" s="132"/>
      <c r="H37" s="132"/>
      <c r="I37" s="132"/>
      <c r="J37" s="132"/>
      <c r="K37" s="132"/>
      <c r="L37" s="132"/>
      <c r="M37" s="132"/>
      <c r="N37" s="132"/>
      <c r="O37" s="132"/>
      <c r="P37" s="133"/>
    </row>
    <row r="38" spans="1:16">
      <c r="A38" s="131"/>
      <c r="B38" s="132"/>
      <c r="C38" s="132"/>
      <c r="D38" s="132"/>
      <c r="E38" s="132"/>
      <c r="F38" s="132"/>
      <c r="G38" s="132"/>
      <c r="H38" s="132"/>
      <c r="I38" s="132"/>
      <c r="J38" s="132"/>
      <c r="K38" s="132"/>
      <c r="L38" s="132"/>
      <c r="M38" s="132"/>
      <c r="N38" s="132"/>
      <c r="O38" s="132"/>
      <c r="P38" s="133"/>
    </row>
    <row r="39" spans="1:16">
      <c r="A39" s="131"/>
      <c r="B39" s="132"/>
      <c r="C39" s="132"/>
      <c r="D39" s="132"/>
      <c r="E39" s="132"/>
      <c r="F39" s="132"/>
      <c r="G39" s="132"/>
      <c r="H39" s="132"/>
      <c r="I39" s="132"/>
      <c r="J39" s="132"/>
      <c r="K39" s="132"/>
      <c r="L39" s="132"/>
      <c r="M39" s="132"/>
      <c r="N39" s="132"/>
      <c r="O39" s="132"/>
      <c r="P39" s="133"/>
    </row>
    <row r="40" spans="1:16">
      <c r="A40" s="131"/>
      <c r="B40" s="132"/>
      <c r="C40" s="132"/>
      <c r="D40" s="132"/>
      <c r="E40" s="132"/>
      <c r="F40" s="132"/>
      <c r="G40" s="132"/>
      <c r="H40" s="132"/>
      <c r="I40" s="132"/>
      <c r="J40" s="132"/>
      <c r="K40" s="132"/>
      <c r="L40" s="132"/>
      <c r="M40" s="132"/>
      <c r="N40" s="132"/>
      <c r="O40" s="132"/>
      <c r="P40" s="133"/>
    </row>
    <row r="41" spans="1:16">
      <c r="A41" s="131"/>
      <c r="B41" s="132"/>
      <c r="C41" s="132"/>
      <c r="D41" s="132"/>
      <c r="E41" s="132"/>
      <c r="F41" s="132"/>
      <c r="G41" s="132"/>
      <c r="H41" s="132"/>
      <c r="I41" s="132"/>
      <c r="J41" s="132"/>
      <c r="K41" s="132"/>
      <c r="L41" s="132"/>
      <c r="M41" s="132"/>
      <c r="N41" s="132"/>
      <c r="O41" s="132"/>
      <c r="P41" s="133"/>
    </row>
    <row r="42" spans="1:16">
      <c r="A42" s="131"/>
      <c r="B42" s="132"/>
      <c r="C42" s="132"/>
      <c r="D42" s="132"/>
      <c r="E42" s="132"/>
      <c r="F42" s="132"/>
      <c r="G42" s="132"/>
      <c r="H42" s="132"/>
      <c r="I42" s="132"/>
      <c r="J42" s="132"/>
      <c r="K42" s="132"/>
      <c r="L42" s="132"/>
      <c r="M42" s="132"/>
      <c r="N42" s="132"/>
      <c r="O42" s="132"/>
      <c r="P42" s="133"/>
    </row>
    <row r="43" spans="1:16">
      <c r="A43" s="131"/>
      <c r="B43" s="132"/>
      <c r="C43" s="132"/>
      <c r="D43" s="132"/>
      <c r="E43" s="132"/>
      <c r="F43" s="132"/>
      <c r="G43" s="132"/>
      <c r="H43" s="132"/>
      <c r="I43" s="132"/>
      <c r="J43" s="132"/>
      <c r="K43" s="132"/>
      <c r="L43" s="132"/>
      <c r="M43" s="132"/>
      <c r="N43" s="132"/>
      <c r="O43" s="132"/>
      <c r="P43" s="133"/>
    </row>
    <row r="44" spans="1:16">
      <c r="A44" s="131"/>
      <c r="B44" s="132"/>
      <c r="C44" s="132"/>
      <c r="D44" s="132"/>
      <c r="E44" s="132"/>
      <c r="F44" s="132"/>
      <c r="G44" s="132"/>
      <c r="H44" s="132"/>
      <c r="I44" s="132"/>
      <c r="J44" s="132"/>
      <c r="K44" s="132"/>
      <c r="L44" s="132"/>
      <c r="M44" s="132"/>
      <c r="N44" s="132"/>
      <c r="O44" s="132"/>
      <c r="P44" s="133"/>
    </row>
    <row r="45" spans="1:16">
      <c r="A45" s="131"/>
      <c r="B45" s="132"/>
      <c r="C45" s="132"/>
      <c r="D45" s="132"/>
      <c r="E45" s="132"/>
      <c r="F45" s="132"/>
      <c r="G45" s="132"/>
      <c r="H45" s="132"/>
      <c r="I45" s="132"/>
      <c r="J45" s="132"/>
      <c r="K45" s="132"/>
      <c r="L45" s="132"/>
      <c r="M45" s="132"/>
      <c r="N45" s="132"/>
      <c r="O45" s="132"/>
      <c r="P45" s="133"/>
    </row>
    <row r="46" spans="1:16">
      <c r="A46" s="131"/>
      <c r="B46" s="132"/>
      <c r="C46" s="132"/>
      <c r="D46" s="132"/>
      <c r="E46" s="132"/>
      <c r="F46" s="132"/>
      <c r="G46" s="132"/>
      <c r="H46" s="132"/>
      <c r="I46" s="132"/>
      <c r="J46" s="132"/>
      <c r="K46" s="132"/>
      <c r="L46" s="132"/>
      <c r="M46" s="132"/>
      <c r="N46" s="132"/>
      <c r="O46" s="132"/>
      <c r="P46" s="133"/>
    </row>
    <row r="47" spans="1:16">
      <c r="A47" s="131"/>
      <c r="B47" s="132"/>
      <c r="C47" s="132"/>
      <c r="D47" s="132"/>
      <c r="E47" s="132"/>
      <c r="F47" s="132"/>
      <c r="G47" s="132"/>
      <c r="H47" s="132"/>
      <c r="I47" s="132"/>
      <c r="J47" s="132"/>
      <c r="K47" s="132"/>
      <c r="L47" s="132"/>
      <c r="M47" s="132"/>
      <c r="N47" s="132"/>
      <c r="O47" s="132"/>
      <c r="P47" s="133"/>
    </row>
    <row r="48" spans="1:16">
      <c r="A48" s="131"/>
      <c r="B48" s="132"/>
      <c r="C48" s="132"/>
      <c r="D48" s="132"/>
      <c r="E48" s="132"/>
      <c r="F48" s="132"/>
      <c r="G48" s="132"/>
      <c r="H48" s="132"/>
      <c r="I48" s="132"/>
      <c r="J48" s="132"/>
      <c r="K48" s="132"/>
      <c r="L48" s="132"/>
      <c r="M48" s="132"/>
      <c r="N48" s="132"/>
      <c r="O48" s="132"/>
      <c r="P48" s="133"/>
    </row>
    <row r="49" spans="1:16">
      <c r="A49" s="131"/>
      <c r="B49" s="132"/>
      <c r="C49" s="132"/>
      <c r="D49" s="132"/>
      <c r="E49" s="132"/>
      <c r="F49" s="132"/>
      <c r="G49" s="132"/>
      <c r="H49" s="132"/>
      <c r="I49" s="132"/>
      <c r="J49" s="132"/>
      <c r="K49" s="132"/>
      <c r="L49" s="132"/>
      <c r="M49" s="132"/>
      <c r="N49" s="132"/>
      <c r="O49" s="132"/>
      <c r="P49" s="133"/>
    </row>
    <row r="50" spans="1:16">
      <c r="A50" s="131"/>
      <c r="B50" s="132"/>
      <c r="C50" s="132"/>
      <c r="D50" s="132"/>
      <c r="E50" s="132"/>
      <c r="F50" s="132"/>
      <c r="G50" s="132"/>
      <c r="H50" s="132"/>
      <c r="I50" s="132"/>
      <c r="J50" s="132"/>
      <c r="K50" s="132"/>
      <c r="L50" s="132"/>
      <c r="M50" s="132"/>
      <c r="N50" s="132"/>
      <c r="O50" s="132"/>
      <c r="P50" s="133"/>
    </row>
    <row r="51" spans="1:16">
      <c r="A51" s="131"/>
      <c r="B51" s="132"/>
      <c r="C51" s="132"/>
      <c r="D51" s="132"/>
      <c r="E51" s="132"/>
      <c r="F51" s="132"/>
      <c r="G51" s="132"/>
      <c r="H51" s="132"/>
      <c r="I51" s="132"/>
      <c r="J51" s="132"/>
      <c r="K51" s="132"/>
      <c r="L51" s="132"/>
      <c r="M51" s="132"/>
      <c r="N51" s="132"/>
      <c r="O51" s="132"/>
      <c r="P51" s="133"/>
    </row>
    <row r="52" spans="1:16">
      <c r="A52" s="131"/>
      <c r="B52" s="132"/>
      <c r="C52" s="132"/>
      <c r="D52" s="132"/>
      <c r="E52" s="132"/>
      <c r="F52" s="132"/>
      <c r="G52" s="132"/>
      <c r="H52" s="132"/>
      <c r="I52" s="132"/>
      <c r="J52" s="132"/>
      <c r="K52" s="132"/>
      <c r="L52" s="132"/>
      <c r="M52" s="132"/>
      <c r="N52" s="132"/>
      <c r="O52" s="132"/>
      <c r="P52" s="133"/>
    </row>
    <row r="53" spans="1:16">
      <c r="A53" s="131"/>
      <c r="B53" s="132"/>
      <c r="C53" s="132"/>
      <c r="D53" s="132"/>
      <c r="E53" s="132"/>
      <c r="F53" s="132"/>
      <c r="G53" s="132"/>
      <c r="H53" s="132"/>
      <c r="I53" s="132"/>
      <c r="J53" s="132"/>
      <c r="K53" s="132"/>
      <c r="L53" s="132"/>
      <c r="M53" s="132"/>
      <c r="N53" s="132"/>
      <c r="O53" s="132"/>
      <c r="P53" s="133"/>
    </row>
    <row r="54" spans="1:16">
      <c r="A54" s="131"/>
      <c r="B54" s="132"/>
      <c r="C54" s="132"/>
      <c r="D54" s="132"/>
      <c r="E54" s="132"/>
      <c r="F54" s="132"/>
      <c r="G54" s="132"/>
      <c r="H54" s="132"/>
      <c r="I54" s="132"/>
      <c r="J54" s="132"/>
      <c r="K54" s="132"/>
      <c r="L54" s="132"/>
      <c r="M54" s="132"/>
      <c r="N54" s="132"/>
      <c r="O54" s="132"/>
      <c r="P54" s="133"/>
    </row>
    <row r="55" spans="1:16">
      <c r="A55" s="131"/>
      <c r="B55" s="132"/>
      <c r="C55" s="132"/>
      <c r="D55" s="132"/>
      <c r="E55" s="132"/>
      <c r="F55" s="132"/>
      <c r="G55" s="132"/>
      <c r="H55" s="132"/>
      <c r="I55" s="132"/>
      <c r="J55" s="132"/>
      <c r="K55" s="132"/>
      <c r="L55" s="132"/>
      <c r="M55" s="132"/>
      <c r="N55" s="132"/>
      <c r="O55" s="132"/>
      <c r="P55" s="133"/>
    </row>
    <row r="56" spans="1:16">
      <c r="A56" s="131"/>
      <c r="B56" s="132"/>
      <c r="C56" s="132"/>
      <c r="D56" s="132"/>
      <c r="E56" s="132"/>
      <c r="F56" s="132"/>
      <c r="G56" s="132"/>
      <c r="H56" s="132"/>
      <c r="I56" s="132"/>
      <c r="J56" s="132"/>
      <c r="K56" s="132"/>
      <c r="L56" s="132"/>
      <c r="M56" s="132"/>
      <c r="N56" s="132"/>
      <c r="O56" s="132"/>
      <c r="P56" s="133"/>
    </row>
    <row r="57" spans="1:16">
      <c r="A57" s="131"/>
      <c r="B57" s="132"/>
      <c r="C57" s="132"/>
      <c r="D57" s="132"/>
      <c r="E57" s="132"/>
      <c r="F57" s="132"/>
      <c r="G57" s="132"/>
      <c r="H57" s="132"/>
      <c r="I57" s="132"/>
      <c r="J57" s="132"/>
      <c r="K57" s="132"/>
      <c r="L57" s="132"/>
      <c r="M57" s="132"/>
      <c r="N57" s="132"/>
      <c r="O57" s="132"/>
      <c r="P57" s="133"/>
    </row>
    <row r="58" spans="1:16">
      <c r="A58" s="131"/>
      <c r="B58" s="132"/>
      <c r="C58" s="132"/>
      <c r="D58" s="132"/>
      <c r="E58" s="132"/>
      <c r="F58" s="132"/>
      <c r="G58" s="132"/>
      <c r="H58" s="132"/>
      <c r="I58" s="132"/>
      <c r="J58" s="132"/>
      <c r="K58" s="132"/>
      <c r="L58" s="132"/>
      <c r="M58" s="132"/>
      <c r="N58" s="132"/>
      <c r="O58" s="132"/>
      <c r="P58" s="133"/>
    </row>
    <row r="59" spans="1:16">
      <c r="A59" s="131"/>
      <c r="B59" s="132"/>
      <c r="C59" s="132"/>
      <c r="D59" s="132"/>
      <c r="E59" s="132"/>
      <c r="F59" s="132"/>
      <c r="G59" s="132"/>
      <c r="H59" s="132"/>
      <c r="I59" s="132"/>
      <c r="J59" s="132"/>
      <c r="K59" s="132"/>
      <c r="L59" s="132"/>
      <c r="M59" s="132"/>
      <c r="N59" s="132"/>
      <c r="O59" s="132"/>
      <c r="P59" s="133"/>
    </row>
  </sheetData>
  <mergeCells count="3">
    <mergeCell ref="B1:O1"/>
    <mergeCell ref="B2:O2"/>
    <mergeCell ref="B3:O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sheetPr>
  <dimension ref="A1:G32"/>
  <sheetViews>
    <sheetView tabSelected="1" zoomScaleNormal="100" workbookViewId="0">
      <pane ySplit="1" topLeftCell="A16" activePane="bottomLeft" state="frozen"/>
      <selection activeCell="B15" sqref="B15"/>
      <selection pane="bottomLeft" activeCell="D21" sqref="D21"/>
    </sheetView>
  </sheetViews>
  <sheetFormatPr defaultColWidth="10.875" defaultRowHeight="15.75"/>
  <cols>
    <col min="1" max="1" width="5.5" style="2" customWidth="1"/>
    <col min="2" max="2" width="25.5" style="4" customWidth="1"/>
    <col min="3" max="3" width="52.125" style="5" customWidth="1"/>
    <col min="4" max="4" width="73" style="2" customWidth="1"/>
    <col min="5" max="5" width="21" style="214" customWidth="1"/>
    <col min="6" max="6" width="3.75" style="212" hidden="1" customWidth="1"/>
    <col min="7" max="7" width="65.5" style="213" customWidth="1"/>
    <col min="8" max="16384" width="10.875" style="2"/>
  </cols>
  <sheetData>
    <row r="1" spans="1:7" ht="111" thickBot="1">
      <c r="A1" s="295" t="s">
        <v>0</v>
      </c>
      <c r="B1" s="296"/>
      <c r="C1" s="119" t="s">
        <v>204</v>
      </c>
      <c r="D1" s="143" t="s">
        <v>102</v>
      </c>
      <c r="E1" s="186" t="s">
        <v>207</v>
      </c>
      <c r="F1" s="187" t="s">
        <v>220</v>
      </c>
      <c r="G1" s="188" t="s">
        <v>234</v>
      </c>
    </row>
    <row r="2" spans="1:7" s="58" customFormat="1" ht="23.25">
      <c r="A2" s="54"/>
      <c r="B2" s="55"/>
      <c r="C2" s="56"/>
      <c r="D2" s="57"/>
      <c r="E2" s="189" t="s">
        <v>188</v>
      </c>
      <c r="F2" s="190"/>
      <c r="G2" s="191"/>
    </row>
    <row r="3" spans="1:7" ht="23.25">
      <c r="A3" s="293" t="s">
        <v>1</v>
      </c>
      <c r="B3" s="294"/>
      <c r="C3" s="36"/>
      <c r="D3" s="35" t="s">
        <v>103</v>
      </c>
      <c r="E3" s="192">
        <v>5</v>
      </c>
      <c r="F3" s="193">
        <v>1</v>
      </c>
      <c r="G3" s="194"/>
    </row>
    <row r="4" spans="1:7" ht="47.25">
      <c r="A4" s="166" t="s">
        <v>2</v>
      </c>
      <c r="B4" s="165" t="s">
        <v>340</v>
      </c>
      <c r="C4" s="16" t="s">
        <v>258</v>
      </c>
      <c r="D4" s="16" t="s">
        <v>364</v>
      </c>
      <c r="E4" s="195"/>
      <c r="F4" s="196">
        <v>1</v>
      </c>
      <c r="G4" s="197"/>
    </row>
    <row r="5" spans="1:7" ht="63">
      <c r="A5" s="166" t="s">
        <v>3</v>
      </c>
      <c r="B5" s="6" t="s">
        <v>250</v>
      </c>
      <c r="C5" s="146" t="s">
        <v>260</v>
      </c>
      <c r="D5" s="267" t="s">
        <v>339</v>
      </c>
      <c r="E5" s="198"/>
      <c r="F5" s="196">
        <v>1</v>
      </c>
      <c r="G5" s="197"/>
    </row>
    <row r="6" spans="1:7" ht="31.5">
      <c r="A6" s="166" t="s">
        <v>4</v>
      </c>
      <c r="B6" s="165" t="s">
        <v>72</v>
      </c>
      <c r="C6" s="16" t="s">
        <v>251</v>
      </c>
      <c r="D6" s="7" t="s">
        <v>365</v>
      </c>
      <c r="E6" s="198"/>
      <c r="F6" s="196">
        <v>1</v>
      </c>
      <c r="G6" s="199"/>
    </row>
    <row r="7" spans="1:7" s="38" customFormat="1" ht="63">
      <c r="A7" s="167" t="s">
        <v>275</v>
      </c>
      <c r="B7" s="165" t="s">
        <v>264</v>
      </c>
      <c r="C7" s="16" t="s">
        <v>366</v>
      </c>
      <c r="D7" s="16" t="s">
        <v>344</v>
      </c>
      <c r="E7" s="200"/>
      <c r="F7" s="201">
        <v>1</v>
      </c>
      <c r="G7" s="199"/>
    </row>
    <row r="8" spans="1:7" s="38" customFormat="1" ht="31.5">
      <c r="A8" s="167" t="s">
        <v>5</v>
      </c>
      <c r="B8" s="165" t="s">
        <v>192</v>
      </c>
      <c r="C8" s="16" t="s">
        <v>194</v>
      </c>
      <c r="D8" s="16" t="s">
        <v>252</v>
      </c>
      <c r="E8" s="200"/>
      <c r="F8" s="201">
        <v>1</v>
      </c>
      <c r="G8" s="199"/>
    </row>
    <row r="9" spans="1:7" ht="31.5">
      <c r="A9" s="166" t="s">
        <v>6</v>
      </c>
      <c r="B9" s="165" t="s">
        <v>341</v>
      </c>
      <c r="C9" s="16" t="s">
        <v>262</v>
      </c>
      <c r="D9" s="140" t="s">
        <v>263</v>
      </c>
      <c r="E9" s="198"/>
      <c r="F9" s="196">
        <v>1</v>
      </c>
      <c r="G9" s="197"/>
    </row>
    <row r="10" spans="1:7" ht="47.25">
      <c r="A10" s="166" t="s">
        <v>7</v>
      </c>
      <c r="B10" s="165" t="s">
        <v>73</v>
      </c>
      <c r="C10" s="146" t="s">
        <v>367</v>
      </c>
      <c r="D10" s="164" t="s">
        <v>261</v>
      </c>
      <c r="E10" s="198"/>
      <c r="F10" s="196">
        <v>1</v>
      </c>
      <c r="G10" s="197"/>
    </row>
    <row r="11" spans="1:7" ht="63">
      <c r="A11" s="167" t="s">
        <v>8</v>
      </c>
      <c r="B11" s="165" t="s">
        <v>222</v>
      </c>
      <c r="C11" s="141" t="s">
        <v>253</v>
      </c>
      <c r="D11" s="16" t="s">
        <v>259</v>
      </c>
      <c r="E11" s="198"/>
      <c r="F11" s="196">
        <v>1</v>
      </c>
      <c r="G11" s="197"/>
    </row>
    <row r="12" spans="1:7" ht="47.25">
      <c r="A12" s="167" t="s">
        <v>9</v>
      </c>
      <c r="B12" s="165" t="s">
        <v>342</v>
      </c>
      <c r="C12" s="16" t="s">
        <v>223</v>
      </c>
      <c r="D12" s="16" t="s">
        <v>254</v>
      </c>
      <c r="E12" s="198"/>
      <c r="F12" s="196">
        <v>1</v>
      </c>
      <c r="G12" s="197"/>
    </row>
    <row r="13" spans="1:7" ht="23.25">
      <c r="A13" s="293" t="s">
        <v>10</v>
      </c>
      <c r="B13" s="294"/>
      <c r="C13" s="36"/>
      <c r="D13" s="23" t="s">
        <v>104</v>
      </c>
      <c r="E13" s="192">
        <v>5</v>
      </c>
      <c r="F13" s="193"/>
      <c r="G13" s="202"/>
    </row>
    <row r="14" spans="1:7" ht="47.25">
      <c r="A14" s="167" t="s">
        <v>12</v>
      </c>
      <c r="B14" s="6" t="s">
        <v>10</v>
      </c>
      <c r="C14" s="16" t="s">
        <v>397</v>
      </c>
      <c r="D14" s="16" t="s">
        <v>338</v>
      </c>
      <c r="E14" s="203"/>
      <c r="F14" s="196">
        <v>1</v>
      </c>
      <c r="G14" s="197"/>
    </row>
    <row r="15" spans="1:7" ht="31.5">
      <c r="A15" s="167" t="s">
        <v>201</v>
      </c>
      <c r="B15" s="6" t="s">
        <v>224</v>
      </c>
      <c r="C15" s="16" t="s">
        <v>209</v>
      </c>
      <c r="D15" s="16" t="s">
        <v>398</v>
      </c>
      <c r="E15" s="203"/>
      <c r="F15" s="196">
        <v>1</v>
      </c>
      <c r="G15" s="197"/>
    </row>
    <row r="16" spans="1:7" ht="31.5">
      <c r="A16" s="168" t="s">
        <v>278</v>
      </c>
      <c r="B16" s="12" t="s">
        <v>266</v>
      </c>
      <c r="C16" s="19" t="s">
        <v>265</v>
      </c>
      <c r="D16" s="19"/>
      <c r="E16" s="203"/>
      <c r="F16" s="204">
        <v>1</v>
      </c>
      <c r="G16" s="197"/>
    </row>
    <row r="17" spans="1:7" ht="63">
      <c r="A17" s="169" t="s">
        <v>279</v>
      </c>
      <c r="B17" s="12" t="s">
        <v>268</v>
      </c>
      <c r="C17" s="19" t="s">
        <v>267</v>
      </c>
      <c r="D17" s="13" t="s">
        <v>368</v>
      </c>
      <c r="E17" s="198"/>
      <c r="F17" s="204">
        <v>1</v>
      </c>
      <c r="G17" s="197"/>
    </row>
    <row r="18" spans="1:7" ht="23.25">
      <c r="A18" s="291" t="s">
        <v>195</v>
      </c>
      <c r="B18" s="292"/>
      <c r="C18" s="37"/>
      <c r="D18" s="24" t="s">
        <v>205</v>
      </c>
      <c r="E18" s="192">
        <v>5</v>
      </c>
      <c r="F18" s="193"/>
      <c r="G18" s="202"/>
    </row>
    <row r="19" spans="1:7" ht="31.5">
      <c r="A19" s="167" t="s">
        <v>198</v>
      </c>
      <c r="B19" s="6" t="s">
        <v>196</v>
      </c>
      <c r="C19" s="16" t="s">
        <v>200</v>
      </c>
      <c r="D19" s="16"/>
      <c r="E19" s="198"/>
      <c r="F19" s="196">
        <v>1</v>
      </c>
      <c r="G19" s="197"/>
    </row>
    <row r="20" spans="1:7" ht="31.5">
      <c r="A20" s="168" t="s">
        <v>202</v>
      </c>
      <c r="B20" s="12" t="s">
        <v>199</v>
      </c>
      <c r="C20" s="16" t="s">
        <v>269</v>
      </c>
      <c r="D20" s="19" t="s">
        <v>399</v>
      </c>
      <c r="E20" s="198"/>
      <c r="F20" s="196">
        <v>1</v>
      </c>
      <c r="G20" s="197"/>
    </row>
    <row r="21" spans="1:7" ht="47.25">
      <c r="A21" s="168" t="s">
        <v>203</v>
      </c>
      <c r="B21" s="12" t="s">
        <v>283</v>
      </c>
      <c r="C21" s="19" t="s">
        <v>400</v>
      </c>
      <c r="D21" s="19" t="s">
        <v>401</v>
      </c>
      <c r="E21" s="198"/>
      <c r="F21" s="196">
        <v>1</v>
      </c>
      <c r="G21" s="197"/>
    </row>
    <row r="22" spans="1:7" ht="47.25">
      <c r="A22" s="168" t="s">
        <v>280</v>
      </c>
      <c r="B22" s="12" t="s">
        <v>197</v>
      </c>
      <c r="C22" s="19" t="s">
        <v>402</v>
      </c>
      <c r="D22" s="19" t="s">
        <v>211</v>
      </c>
      <c r="E22" s="198"/>
      <c r="F22" s="196">
        <v>1</v>
      </c>
      <c r="G22" s="197"/>
    </row>
    <row r="23" spans="1:7" ht="31.5">
      <c r="A23" s="291" t="s">
        <v>11</v>
      </c>
      <c r="B23" s="292"/>
      <c r="C23" s="37"/>
      <c r="D23" s="24" t="s">
        <v>105</v>
      </c>
      <c r="E23" s="205">
        <v>5</v>
      </c>
      <c r="F23" s="193"/>
      <c r="G23" s="202"/>
    </row>
    <row r="24" spans="1:7" ht="47.25">
      <c r="A24" s="169" t="s">
        <v>13</v>
      </c>
      <c r="B24" s="144" t="s">
        <v>225</v>
      </c>
      <c r="C24" s="19" t="s">
        <v>369</v>
      </c>
      <c r="D24" s="13" t="s">
        <v>403</v>
      </c>
      <c r="E24" s="206"/>
      <c r="F24" s="207">
        <v>1</v>
      </c>
      <c r="G24" s="208"/>
    </row>
    <row r="25" spans="1:7" s="13" customFormat="1" ht="47.25">
      <c r="A25" s="170" t="s">
        <v>281</v>
      </c>
      <c r="B25" s="12" t="s">
        <v>106</v>
      </c>
      <c r="C25" s="19" t="s">
        <v>371</v>
      </c>
      <c r="D25" s="148" t="s">
        <v>370</v>
      </c>
      <c r="E25" s="209"/>
      <c r="F25" s="204">
        <v>1</v>
      </c>
      <c r="G25" s="210"/>
    </row>
    <row r="26" spans="1:7" ht="47.25">
      <c r="A26" s="171" t="s">
        <v>14</v>
      </c>
      <c r="B26" s="150" t="s">
        <v>270</v>
      </c>
      <c r="C26" s="147" t="s">
        <v>343</v>
      </c>
      <c r="D26" s="2" t="s">
        <v>372</v>
      </c>
      <c r="E26" s="211"/>
      <c r="F26" s="212">
        <v>1</v>
      </c>
    </row>
    <row r="27" spans="1:7" ht="31.5">
      <c r="A27" s="171" t="s">
        <v>282</v>
      </c>
      <c r="B27" s="150" t="s">
        <v>272</v>
      </c>
      <c r="C27" s="147" t="s">
        <v>271</v>
      </c>
      <c r="D27" s="2" t="s">
        <v>273</v>
      </c>
      <c r="E27" s="211"/>
      <c r="F27" s="212">
        <v>1</v>
      </c>
    </row>
    <row r="28" spans="1:7" ht="23.25">
      <c r="A28" s="291"/>
      <c r="B28" s="292"/>
      <c r="C28" s="37"/>
      <c r="D28" s="24"/>
      <c r="E28" s="205"/>
      <c r="F28" s="193"/>
      <c r="G28" s="202"/>
    </row>
    <row r="29" spans="1:7">
      <c r="A29" s="58"/>
      <c r="E29" s="211"/>
    </row>
    <row r="30" spans="1:7">
      <c r="A30" s="58"/>
      <c r="E30" s="211"/>
    </row>
    <row r="31" spans="1:7">
      <c r="A31" s="58"/>
      <c r="E31" s="211"/>
    </row>
    <row r="32" spans="1:7">
      <c r="A32" s="58"/>
      <c r="E32" s="211"/>
    </row>
  </sheetData>
  <autoFilter ref="A1:G27" xr:uid="{00000000-0009-0000-0000-000001000000}">
    <filterColumn colId="0" showButton="0"/>
  </autoFilter>
  <mergeCells count="6">
    <mergeCell ref="A28:B28"/>
    <mergeCell ref="A3:B3"/>
    <mergeCell ref="A13:B13"/>
    <mergeCell ref="A23:B23"/>
    <mergeCell ref="A1:B1"/>
    <mergeCell ref="A18:B18"/>
  </mergeCells>
  <phoneticPr fontId="4"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50" r:id="rId4" name="Vervolgkeuzelijst 55">
              <controlPr defaultSize="0" autoLine="0" autoPict="0">
                <anchor moveWithCells="1">
                  <from>
                    <xdr:col>4</xdr:col>
                    <xdr:colOff>9525</xdr:colOff>
                    <xdr:row>4</xdr:row>
                    <xdr:rowOff>38100</xdr:rowOff>
                  </from>
                  <to>
                    <xdr:col>4</xdr:col>
                    <xdr:colOff>1524000</xdr:colOff>
                    <xdr:row>4</xdr:row>
                    <xdr:rowOff>228600</xdr:rowOff>
                  </to>
                </anchor>
              </controlPr>
            </control>
          </mc:Choice>
        </mc:AlternateContent>
        <mc:AlternateContent xmlns:mc="http://schemas.openxmlformats.org/markup-compatibility/2006">
          <mc:Choice Requires="x14">
            <control shapeId="2051" r:id="rId5" name="Drop Down 3">
              <controlPr defaultSize="0" autoLine="0" autoPict="0">
                <anchor moveWithCells="1">
                  <from>
                    <xdr:col>4</xdr:col>
                    <xdr:colOff>9525</xdr:colOff>
                    <xdr:row>5</xdr:row>
                    <xdr:rowOff>38100</xdr:rowOff>
                  </from>
                  <to>
                    <xdr:col>4</xdr:col>
                    <xdr:colOff>1524000</xdr:colOff>
                    <xdr:row>5</xdr:row>
                    <xdr:rowOff>228600</xdr:rowOff>
                  </to>
                </anchor>
              </controlPr>
            </control>
          </mc:Choice>
        </mc:AlternateContent>
        <mc:AlternateContent xmlns:mc="http://schemas.openxmlformats.org/markup-compatibility/2006">
          <mc:Choice Requires="x14">
            <control shapeId="2054" r:id="rId6" name="Drop Down 6">
              <controlPr defaultSize="0" autoLine="0" autoPict="0">
                <anchor moveWithCells="1">
                  <from>
                    <xdr:col>4</xdr:col>
                    <xdr:colOff>9525</xdr:colOff>
                    <xdr:row>9</xdr:row>
                    <xdr:rowOff>38100</xdr:rowOff>
                  </from>
                  <to>
                    <xdr:col>4</xdr:col>
                    <xdr:colOff>1524000</xdr:colOff>
                    <xdr:row>9</xdr:row>
                    <xdr:rowOff>228600</xdr:rowOff>
                  </to>
                </anchor>
              </controlPr>
            </control>
          </mc:Choice>
        </mc:AlternateContent>
        <mc:AlternateContent xmlns:mc="http://schemas.openxmlformats.org/markup-compatibility/2006">
          <mc:Choice Requires="x14">
            <control shapeId="2055" r:id="rId7" name="Drop Down 7">
              <controlPr defaultSize="0" autoLine="0" autoPict="0">
                <anchor moveWithCells="1">
                  <from>
                    <xdr:col>4</xdr:col>
                    <xdr:colOff>0</xdr:colOff>
                    <xdr:row>10</xdr:row>
                    <xdr:rowOff>0</xdr:rowOff>
                  </from>
                  <to>
                    <xdr:col>4</xdr:col>
                    <xdr:colOff>1514475</xdr:colOff>
                    <xdr:row>10</xdr:row>
                    <xdr:rowOff>190500</xdr:rowOff>
                  </to>
                </anchor>
              </controlPr>
            </control>
          </mc:Choice>
        </mc:AlternateContent>
        <mc:AlternateContent xmlns:mc="http://schemas.openxmlformats.org/markup-compatibility/2006">
          <mc:Choice Requires="x14">
            <control shapeId="2057" r:id="rId8" name="Drop Down 9">
              <controlPr defaultSize="0" autoLine="0" autoPict="0">
                <anchor moveWithCells="1">
                  <from>
                    <xdr:col>4</xdr:col>
                    <xdr:colOff>9525</xdr:colOff>
                    <xdr:row>11</xdr:row>
                    <xdr:rowOff>38100</xdr:rowOff>
                  </from>
                  <to>
                    <xdr:col>4</xdr:col>
                    <xdr:colOff>1524000</xdr:colOff>
                    <xdr:row>11</xdr:row>
                    <xdr:rowOff>228600</xdr:rowOff>
                  </to>
                </anchor>
              </controlPr>
            </control>
          </mc:Choice>
        </mc:AlternateContent>
        <mc:AlternateContent xmlns:mc="http://schemas.openxmlformats.org/markup-compatibility/2006">
          <mc:Choice Requires="x14">
            <control shapeId="2064" r:id="rId9" name="Drop Down 16">
              <controlPr defaultSize="0" autoLine="0" autoPict="0">
                <anchor moveWithCells="1">
                  <from>
                    <xdr:col>4</xdr:col>
                    <xdr:colOff>9525</xdr:colOff>
                    <xdr:row>6</xdr:row>
                    <xdr:rowOff>38100</xdr:rowOff>
                  </from>
                  <to>
                    <xdr:col>4</xdr:col>
                    <xdr:colOff>1524000</xdr:colOff>
                    <xdr:row>6</xdr:row>
                    <xdr:rowOff>257175</xdr:rowOff>
                  </to>
                </anchor>
              </controlPr>
            </control>
          </mc:Choice>
        </mc:AlternateContent>
        <mc:AlternateContent xmlns:mc="http://schemas.openxmlformats.org/markup-compatibility/2006">
          <mc:Choice Requires="x14">
            <control shapeId="2066" r:id="rId10" name="Drop Down 18">
              <controlPr defaultSize="0" autoLine="0" autoPict="0">
                <anchor moveWithCells="1">
                  <from>
                    <xdr:col>4</xdr:col>
                    <xdr:colOff>9525</xdr:colOff>
                    <xdr:row>7</xdr:row>
                    <xdr:rowOff>0</xdr:rowOff>
                  </from>
                  <to>
                    <xdr:col>4</xdr:col>
                    <xdr:colOff>1524000</xdr:colOff>
                    <xdr:row>7</xdr:row>
                    <xdr:rowOff>190500</xdr:rowOff>
                  </to>
                </anchor>
              </controlPr>
            </control>
          </mc:Choice>
        </mc:AlternateContent>
        <mc:AlternateContent xmlns:mc="http://schemas.openxmlformats.org/markup-compatibility/2006">
          <mc:Choice Requires="x14">
            <control shapeId="2068" r:id="rId11" name="Drop Down 20">
              <controlPr defaultSize="0" autoLine="0" autoPict="0">
                <anchor moveWithCells="1">
                  <from>
                    <xdr:col>4</xdr:col>
                    <xdr:colOff>9525</xdr:colOff>
                    <xdr:row>8</xdr:row>
                    <xdr:rowOff>38100</xdr:rowOff>
                  </from>
                  <to>
                    <xdr:col>4</xdr:col>
                    <xdr:colOff>1524000</xdr:colOff>
                    <xdr:row>8</xdr:row>
                    <xdr:rowOff>228600</xdr:rowOff>
                  </to>
                </anchor>
              </controlPr>
            </control>
          </mc:Choice>
        </mc:AlternateContent>
        <mc:AlternateContent xmlns:mc="http://schemas.openxmlformats.org/markup-compatibility/2006">
          <mc:Choice Requires="x14">
            <control shapeId="2070" r:id="rId12" name="Drop Down 22">
              <controlPr defaultSize="0" autoLine="0" autoPict="0">
                <anchor moveWithCells="1">
                  <from>
                    <xdr:col>4</xdr:col>
                    <xdr:colOff>9525</xdr:colOff>
                    <xdr:row>13</xdr:row>
                    <xdr:rowOff>38100</xdr:rowOff>
                  </from>
                  <to>
                    <xdr:col>4</xdr:col>
                    <xdr:colOff>1524000</xdr:colOff>
                    <xdr:row>13</xdr:row>
                    <xdr:rowOff>228600</xdr:rowOff>
                  </to>
                </anchor>
              </controlPr>
            </control>
          </mc:Choice>
        </mc:AlternateContent>
        <mc:AlternateContent xmlns:mc="http://schemas.openxmlformats.org/markup-compatibility/2006">
          <mc:Choice Requires="x14">
            <control shapeId="2072" r:id="rId13" name="Drop Down 24">
              <controlPr defaultSize="0" autoLine="0" autoPict="0">
                <anchor moveWithCells="1">
                  <from>
                    <xdr:col>4</xdr:col>
                    <xdr:colOff>9525</xdr:colOff>
                    <xdr:row>19</xdr:row>
                    <xdr:rowOff>38100</xdr:rowOff>
                  </from>
                  <to>
                    <xdr:col>4</xdr:col>
                    <xdr:colOff>1524000</xdr:colOff>
                    <xdr:row>19</xdr:row>
                    <xdr:rowOff>209550</xdr:rowOff>
                  </to>
                </anchor>
              </controlPr>
            </control>
          </mc:Choice>
        </mc:AlternateContent>
        <mc:AlternateContent xmlns:mc="http://schemas.openxmlformats.org/markup-compatibility/2006">
          <mc:Choice Requires="x14">
            <control shapeId="2074" r:id="rId14" name="Drop Down 26">
              <controlPr defaultSize="0" autoLine="0" autoPict="0">
                <anchor moveWithCells="1">
                  <from>
                    <xdr:col>4</xdr:col>
                    <xdr:colOff>9525</xdr:colOff>
                    <xdr:row>23</xdr:row>
                    <xdr:rowOff>38100</xdr:rowOff>
                  </from>
                  <to>
                    <xdr:col>4</xdr:col>
                    <xdr:colOff>1524000</xdr:colOff>
                    <xdr:row>23</xdr:row>
                    <xdr:rowOff>228600</xdr:rowOff>
                  </to>
                </anchor>
              </controlPr>
            </control>
          </mc:Choice>
        </mc:AlternateContent>
        <mc:AlternateContent xmlns:mc="http://schemas.openxmlformats.org/markup-compatibility/2006">
          <mc:Choice Requires="x14">
            <control shapeId="2075" r:id="rId15" name="Drop Down 27">
              <controlPr defaultSize="0" autoLine="0" autoPict="0">
                <anchor moveWithCells="1">
                  <from>
                    <xdr:col>4</xdr:col>
                    <xdr:colOff>9525</xdr:colOff>
                    <xdr:row>24</xdr:row>
                    <xdr:rowOff>38100</xdr:rowOff>
                  </from>
                  <to>
                    <xdr:col>4</xdr:col>
                    <xdr:colOff>1524000</xdr:colOff>
                    <xdr:row>24</xdr:row>
                    <xdr:rowOff>257175</xdr:rowOff>
                  </to>
                </anchor>
              </controlPr>
            </control>
          </mc:Choice>
        </mc:AlternateContent>
        <mc:AlternateContent xmlns:mc="http://schemas.openxmlformats.org/markup-compatibility/2006">
          <mc:Choice Requires="x14">
            <control shapeId="2091" r:id="rId16" name="Drop Down 43">
              <controlPr defaultSize="0" autoLine="0" autoPict="0">
                <anchor moveWithCells="1">
                  <from>
                    <xdr:col>4</xdr:col>
                    <xdr:colOff>9525</xdr:colOff>
                    <xdr:row>14</xdr:row>
                    <xdr:rowOff>38100</xdr:rowOff>
                  </from>
                  <to>
                    <xdr:col>4</xdr:col>
                    <xdr:colOff>1524000</xdr:colOff>
                    <xdr:row>14</xdr:row>
                    <xdr:rowOff>228600</xdr:rowOff>
                  </to>
                </anchor>
              </controlPr>
            </control>
          </mc:Choice>
        </mc:AlternateContent>
        <mc:AlternateContent xmlns:mc="http://schemas.openxmlformats.org/markup-compatibility/2006">
          <mc:Choice Requires="x14">
            <control shapeId="2049" r:id="rId17" name="Drop Down 1">
              <controlPr defaultSize="0" autoLine="0" autoPict="0">
                <anchor moveWithCells="1">
                  <from>
                    <xdr:col>4</xdr:col>
                    <xdr:colOff>9525</xdr:colOff>
                    <xdr:row>3</xdr:row>
                    <xdr:rowOff>9525</xdr:rowOff>
                  </from>
                  <to>
                    <xdr:col>4</xdr:col>
                    <xdr:colOff>1524000</xdr:colOff>
                    <xdr:row>3</xdr:row>
                    <xdr:rowOff>200025</xdr:rowOff>
                  </to>
                </anchor>
              </controlPr>
            </control>
          </mc:Choice>
        </mc:AlternateContent>
        <mc:AlternateContent xmlns:mc="http://schemas.openxmlformats.org/markup-compatibility/2006">
          <mc:Choice Requires="x14">
            <control shapeId="2093" r:id="rId18" name="Drop Down 45">
              <controlPr defaultSize="0" autoLine="0" autoPict="0">
                <anchor moveWithCells="1">
                  <from>
                    <xdr:col>4</xdr:col>
                    <xdr:colOff>9525</xdr:colOff>
                    <xdr:row>15</xdr:row>
                    <xdr:rowOff>38100</xdr:rowOff>
                  </from>
                  <to>
                    <xdr:col>4</xdr:col>
                    <xdr:colOff>1524000</xdr:colOff>
                    <xdr:row>15</xdr:row>
                    <xdr:rowOff>228600</xdr:rowOff>
                  </to>
                </anchor>
              </controlPr>
            </control>
          </mc:Choice>
        </mc:AlternateContent>
        <mc:AlternateContent xmlns:mc="http://schemas.openxmlformats.org/markup-compatibility/2006">
          <mc:Choice Requires="x14">
            <control shapeId="2095" r:id="rId19" name="Drop Down 47">
              <controlPr defaultSize="0" autoLine="0" autoPict="0">
                <anchor moveWithCells="1">
                  <from>
                    <xdr:col>4</xdr:col>
                    <xdr:colOff>9525</xdr:colOff>
                    <xdr:row>16</xdr:row>
                    <xdr:rowOff>38100</xdr:rowOff>
                  </from>
                  <to>
                    <xdr:col>4</xdr:col>
                    <xdr:colOff>1524000</xdr:colOff>
                    <xdr:row>16</xdr:row>
                    <xdr:rowOff>228600</xdr:rowOff>
                  </to>
                </anchor>
              </controlPr>
            </control>
          </mc:Choice>
        </mc:AlternateContent>
        <mc:AlternateContent xmlns:mc="http://schemas.openxmlformats.org/markup-compatibility/2006">
          <mc:Choice Requires="x14">
            <control shapeId="2097" r:id="rId20" name="Drop Down 49">
              <controlPr defaultSize="0" autoLine="0" autoPict="0">
                <anchor moveWithCells="1">
                  <from>
                    <xdr:col>4</xdr:col>
                    <xdr:colOff>9525</xdr:colOff>
                    <xdr:row>25</xdr:row>
                    <xdr:rowOff>38100</xdr:rowOff>
                  </from>
                  <to>
                    <xdr:col>4</xdr:col>
                    <xdr:colOff>1524000</xdr:colOff>
                    <xdr:row>25</xdr:row>
                    <xdr:rowOff>257175</xdr:rowOff>
                  </to>
                </anchor>
              </controlPr>
            </control>
          </mc:Choice>
        </mc:AlternateContent>
        <mc:AlternateContent xmlns:mc="http://schemas.openxmlformats.org/markup-compatibility/2006">
          <mc:Choice Requires="x14">
            <control shapeId="2098" r:id="rId21" name="Drop Down 50">
              <controlPr defaultSize="0" autoLine="0" autoPict="0">
                <anchor moveWithCells="1">
                  <from>
                    <xdr:col>4</xdr:col>
                    <xdr:colOff>9525</xdr:colOff>
                    <xdr:row>26</xdr:row>
                    <xdr:rowOff>38100</xdr:rowOff>
                  </from>
                  <to>
                    <xdr:col>4</xdr:col>
                    <xdr:colOff>1524000</xdr:colOff>
                    <xdr:row>26</xdr:row>
                    <xdr:rowOff>257175</xdr:rowOff>
                  </to>
                </anchor>
              </controlPr>
            </control>
          </mc:Choice>
        </mc:AlternateContent>
        <mc:AlternateContent xmlns:mc="http://schemas.openxmlformats.org/markup-compatibility/2006">
          <mc:Choice Requires="x14">
            <control shapeId="2103" r:id="rId22" name="Drop Down 55">
              <controlPr defaultSize="0" autoLine="0" autoPict="0">
                <anchor moveWithCells="1">
                  <from>
                    <xdr:col>4</xdr:col>
                    <xdr:colOff>9525</xdr:colOff>
                    <xdr:row>20</xdr:row>
                    <xdr:rowOff>38100</xdr:rowOff>
                  </from>
                  <to>
                    <xdr:col>4</xdr:col>
                    <xdr:colOff>1524000</xdr:colOff>
                    <xdr:row>20</xdr:row>
                    <xdr:rowOff>257175</xdr:rowOff>
                  </to>
                </anchor>
              </controlPr>
            </control>
          </mc:Choice>
        </mc:AlternateContent>
        <mc:AlternateContent xmlns:mc="http://schemas.openxmlformats.org/markup-compatibility/2006">
          <mc:Choice Requires="x14">
            <control shapeId="2104" r:id="rId23" name="Drop Down 56">
              <controlPr defaultSize="0" autoLine="0" autoPict="0">
                <anchor moveWithCells="1">
                  <from>
                    <xdr:col>4</xdr:col>
                    <xdr:colOff>9525</xdr:colOff>
                    <xdr:row>21</xdr:row>
                    <xdr:rowOff>38100</xdr:rowOff>
                  </from>
                  <to>
                    <xdr:col>4</xdr:col>
                    <xdr:colOff>1524000</xdr:colOff>
                    <xdr:row>21</xdr:row>
                    <xdr:rowOff>257175</xdr:rowOff>
                  </to>
                </anchor>
              </controlPr>
            </control>
          </mc:Choice>
        </mc:AlternateContent>
        <mc:AlternateContent xmlns:mc="http://schemas.openxmlformats.org/markup-compatibility/2006">
          <mc:Choice Requires="x14">
            <control shapeId="2105" r:id="rId24" name="Drop Down 57">
              <controlPr defaultSize="0" autoLine="0" autoPict="0">
                <anchor moveWithCells="1">
                  <from>
                    <xdr:col>4</xdr:col>
                    <xdr:colOff>9525</xdr:colOff>
                    <xdr:row>18</xdr:row>
                    <xdr:rowOff>38100</xdr:rowOff>
                  </from>
                  <to>
                    <xdr:col>4</xdr:col>
                    <xdr:colOff>1524000</xdr:colOff>
                    <xdr:row>18</xdr:row>
                    <xdr:rowOff>209550</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E4CC"/>
  </sheetPr>
  <dimension ref="A1:G30"/>
  <sheetViews>
    <sheetView zoomScale="99" zoomScaleNormal="99" workbookViewId="0">
      <pane ySplit="1" topLeftCell="A15" activePane="bottomLeft" state="frozen"/>
      <selection activeCell="B15" sqref="B15"/>
      <selection pane="bottomLeft" activeCell="D12" sqref="D12"/>
    </sheetView>
  </sheetViews>
  <sheetFormatPr defaultColWidth="10.875" defaultRowHeight="15.75"/>
  <cols>
    <col min="1" max="1" width="5.5" style="2" customWidth="1"/>
    <col min="2" max="2" width="38" style="4" customWidth="1"/>
    <col min="3" max="3" width="51.625" style="4" customWidth="1"/>
    <col min="4" max="4" width="54" style="5" customWidth="1"/>
    <col min="5" max="5" width="20.375" style="230" customWidth="1"/>
    <col min="6" max="6" width="11.875" style="212" hidden="1" customWidth="1"/>
    <col min="7" max="7" width="63.5" style="213" customWidth="1"/>
    <col min="8" max="16384" width="10.875" style="2"/>
  </cols>
  <sheetData>
    <row r="1" spans="1:7" ht="31.5">
      <c r="A1" s="17" t="s">
        <v>28</v>
      </c>
      <c r="B1" s="18"/>
      <c r="C1" s="99" t="s">
        <v>204</v>
      </c>
      <c r="D1" s="99" t="s">
        <v>102</v>
      </c>
      <c r="E1" s="215" t="s">
        <v>207</v>
      </c>
      <c r="F1" s="216" t="s">
        <v>221</v>
      </c>
      <c r="G1" s="217" t="s">
        <v>234</v>
      </c>
    </row>
    <row r="2" spans="1:7" s="58" customFormat="1" ht="23.25">
      <c r="A2" s="59"/>
      <c r="B2" s="60"/>
      <c r="C2" s="100"/>
      <c r="D2" s="61"/>
      <c r="E2" s="218" t="s">
        <v>188</v>
      </c>
      <c r="F2" s="219"/>
      <c r="G2" s="220"/>
    </row>
    <row r="3" spans="1:7" ht="31.5">
      <c r="A3" s="299" t="s">
        <v>312</v>
      </c>
      <c r="B3" s="300"/>
      <c r="C3" s="101"/>
      <c r="D3" s="25" t="s">
        <v>107</v>
      </c>
      <c r="E3" s="221">
        <v>5</v>
      </c>
      <c r="F3" s="222">
        <v>3</v>
      </c>
      <c r="G3" s="223"/>
    </row>
    <row r="4" spans="1:7" ht="110.25">
      <c r="A4" s="269" t="s">
        <v>30</v>
      </c>
      <c r="B4" s="6" t="s">
        <v>226</v>
      </c>
      <c r="C4" s="145" t="s">
        <v>313</v>
      </c>
      <c r="D4" s="16" t="s">
        <v>405</v>
      </c>
      <c r="E4" s="224"/>
      <c r="F4" s="225">
        <v>5</v>
      </c>
      <c r="G4" s="226"/>
    </row>
    <row r="5" spans="1:7" ht="63">
      <c r="A5" s="269" t="s">
        <v>31</v>
      </c>
      <c r="B5" s="6" t="s">
        <v>314</v>
      </c>
      <c r="C5" s="16" t="s">
        <v>315</v>
      </c>
      <c r="D5" s="16" t="s">
        <v>316</v>
      </c>
      <c r="E5" s="224"/>
      <c r="F5" s="225">
        <v>3</v>
      </c>
      <c r="G5" s="226"/>
    </row>
    <row r="6" spans="1:7" ht="63">
      <c r="A6" s="269" t="s">
        <v>32</v>
      </c>
      <c r="B6" s="6" t="s">
        <v>345</v>
      </c>
      <c r="C6" s="16" t="s">
        <v>318</v>
      </c>
      <c r="D6" s="16" t="s">
        <v>373</v>
      </c>
      <c r="E6" s="224"/>
      <c r="F6" s="225">
        <v>3</v>
      </c>
      <c r="G6" s="226"/>
    </row>
    <row r="7" spans="1:7" ht="47.25">
      <c r="A7" s="269" t="s">
        <v>33</v>
      </c>
      <c r="B7" s="29" t="s">
        <v>346</v>
      </c>
      <c r="C7" s="16" t="s">
        <v>317</v>
      </c>
      <c r="D7" s="16" t="s">
        <v>256</v>
      </c>
      <c r="E7" s="224"/>
      <c r="F7" s="225">
        <v>3</v>
      </c>
      <c r="G7" s="226"/>
    </row>
    <row r="8" spans="1:7" ht="31.5">
      <c r="A8" s="299" t="s">
        <v>29</v>
      </c>
      <c r="B8" s="300"/>
      <c r="C8" s="101"/>
      <c r="D8" s="25" t="s">
        <v>406</v>
      </c>
      <c r="E8" s="221">
        <v>5</v>
      </c>
      <c r="F8" s="222">
        <v>3</v>
      </c>
      <c r="G8" s="227"/>
    </row>
    <row r="9" spans="1:7" ht="78.75">
      <c r="A9" s="269" t="s">
        <v>34</v>
      </c>
      <c r="B9" s="6" t="s">
        <v>74</v>
      </c>
      <c r="C9" s="16" t="s">
        <v>407</v>
      </c>
      <c r="D9" s="16" t="s">
        <v>374</v>
      </c>
      <c r="E9" s="224"/>
      <c r="F9" s="225">
        <v>3</v>
      </c>
      <c r="G9" s="197"/>
    </row>
    <row r="10" spans="1:7" ht="47.25">
      <c r="A10" s="269" t="s">
        <v>35</v>
      </c>
      <c r="B10" s="6" t="s">
        <v>255</v>
      </c>
      <c r="C10" s="16" t="s">
        <v>319</v>
      </c>
      <c r="D10" s="16" t="s">
        <v>408</v>
      </c>
      <c r="E10" s="224"/>
      <c r="F10" s="225">
        <v>3</v>
      </c>
      <c r="G10" s="197"/>
    </row>
    <row r="11" spans="1:7" ht="94.5">
      <c r="A11" s="269" t="s">
        <v>36</v>
      </c>
      <c r="B11" s="6" t="s">
        <v>75</v>
      </c>
      <c r="C11" s="16" t="s">
        <v>247</v>
      </c>
      <c r="D11" s="16" t="s">
        <v>362</v>
      </c>
      <c r="E11" s="224"/>
      <c r="F11" s="225">
        <v>3</v>
      </c>
      <c r="G11" s="197"/>
    </row>
    <row r="12" spans="1:7" ht="78.75">
      <c r="A12" s="269" t="s">
        <v>37</v>
      </c>
      <c r="B12" s="6" t="s">
        <v>76</v>
      </c>
      <c r="C12" s="16" t="s">
        <v>375</v>
      </c>
      <c r="D12" s="16" t="s">
        <v>410</v>
      </c>
      <c r="E12" s="224"/>
      <c r="F12" s="225">
        <v>3</v>
      </c>
      <c r="G12" s="197"/>
    </row>
    <row r="13" spans="1:7" ht="31.5">
      <c r="A13" s="269" t="s">
        <v>38</v>
      </c>
      <c r="B13" s="6" t="s">
        <v>108</v>
      </c>
      <c r="C13" s="16" t="s">
        <v>409</v>
      </c>
      <c r="D13" s="16" t="s">
        <v>228</v>
      </c>
      <c r="E13" s="228"/>
      <c r="F13" s="225">
        <v>1</v>
      </c>
      <c r="G13" s="197"/>
    </row>
    <row r="14" spans="1:7" ht="31.5">
      <c r="A14" s="299" t="s">
        <v>41</v>
      </c>
      <c r="B14" s="300"/>
      <c r="C14" s="101"/>
      <c r="D14" s="25" t="s">
        <v>109</v>
      </c>
      <c r="E14" s="221">
        <v>5</v>
      </c>
      <c r="F14" s="222">
        <v>3</v>
      </c>
      <c r="G14" s="227"/>
    </row>
    <row r="15" spans="1:7" ht="126">
      <c r="A15" s="270" t="s">
        <v>42</v>
      </c>
      <c r="B15" s="6" t="s">
        <v>41</v>
      </c>
      <c r="C15" s="16" t="s">
        <v>376</v>
      </c>
      <c r="D15" s="16" t="s">
        <v>377</v>
      </c>
      <c r="E15" s="224"/>
      <c r="F15" s="225">
        <v>3</v>
      </c>
      <c r="G15" s="197"/>
    </row>
    <row r="16" spans="1:7" ht="47.25">
      <c r="A16" s="270" t="s">
        <v>43</v>
      </c>
      <c r="B16" s="6" t="s">
        <v>227</v>
      </c>
      <c r="C16" s="16" t="s">
        <v>378</v>
      </c>
      <c r="D16" s="16" t="s">
        <v>379</v>
      </c>
      <c r="E16" s="224"/>
      <c r="F16" s="225">
        <v>3</v>
      </c>
      <c r="G16" s="197"/>
    </row>
    <row r="17" spans="1:7" ht="63">
      <c r="A17" s="270" t="s">
        <v>44</v>
      </c>
      <c r="B17" s="6" t="s">
        <v>77</v>
      </c>
      <c r="C17" s="16" t="s">
        <v>380</v>
      </c>
      <c r="D17" s="16" t="s">
        <v>381</v>
      </c>
      <c r="E17" s="224"/>
      <c r="F17" s="225">
        <v>3</v>
      </c>
      <c r="G17" s="197"/>
    </row>
    <row r="18" spans="1:7" ht="47.25">
      <c r="A18" s="270" t="s">
        <v>45</v>
      </c>
      <c r="B18" s="6" t="s">
        <v>78</v>
      </c>
      <c r="C18" s="16" t="s">
        <v>382</v>
      </c>
      <c r="D18" s="16" t="s">
        <v>363</v>
      </c>
      <c r="E18" s="224"/>
      <c r="F18" s="225">
        <v>1</v>
      </c>
      <c r="G18" s="197"/>
    </row>
    <row r="19" spans="1:7" ht="23.25">
      <c r="A19" s="299" t="s">
        <v>79</v>
      </c>
      <c r="B19" s="300"/>
      <c r="C19" s="101"/>
      <c r="D19" s="15"/>
      <c r="E19" s="221">
        <v>5</v>
      </c>
      <c r="F19" s="229">
        <v>3</v>
      </c>
      <c r="G19" s="227"/>
    </row>
    <row r="20" spans="1:7" ht="63">
      <c r="A20" s="270" t="s">
        <v>80</v>
      </c>
      <c r="B20" s="12" t="s">
        <v>320</v>
      </c>
      <c r="C20" s="16" t="s">
        <v>325</v>
      </c>
      <c r="D20" s="19" t="s">
        <v>404</v>
      </c>
      <c r="E20" s="224"/>
      <c r="F20" s="225">
        <v>3</v>
      </c>
      <c r="G20" s="197"/>
    </row>
    <row r="21" spans="1:7" s="284" customFormat="1" ht="23.25">
      <c r="A21" s="297"/>
      <c r="B21" s="298"/>
      <c r="C21" s="279"/>
      <c r="D21" s="280"/>
      <c r="E21" s="281"/>
      <c r="F21" s="282"/>
      <c r="G21" s="283"/>
    </row>
    <row r="22" spans="1:7" s="275" customFormat="1">
      <c r="B22" s="276"/>
      <c r="E22" s="277"/>
      <c r="F22" s="277"/>
      <c r="G22" s="278"/>
    </row>
    <row r="23" spans="1:7" s="275" customFormat="1" ht="159" customHeight="1">
      <c r="B23" s="276"/>
      <c r="E23" s="277"/>
      <c r="F23" s="277"/>
      <c r="G23" s="278"/>
    </row>
    <row r="24" spans="1:7" s="275" customFormat="1">
      <c r="B24" s="276"/>
      <c r="E24" s="277"/>
      <c r="F24" s="277"/>
      <c r="G24" s="278"/>
    </row>
    <row r="25" spans="1:7" s="275" customFormat="1">
      <c r="B25" s="276"/>
      <c r="E25" s="277"/>
      <c r="F25" s="277"/>
      <c r="G25" s="278"/>
    </row>
    <row r="26" spans="1:7" s="5" customFormat="1">
      <c r="E26" s="230"/>
      <c r="F26" s="230"/>
      <c r="G26" s="231"/>
    </row>
    <row r="27" spans="1:7" s="5" customFormat="1">
      <c r="E27" s="230"/>
      <c r="F27" s="230"/>
      <c r="G27" s="231"/>
    </row>
    <row r="28" spans="1:7" s="5" customFormat="1">
      <c r="E28" s="230"/>
      <c r="F28" s="230"/>
      <c r="G28" s="231"/>
    </row>
    <row r="29" spans="1:7" s="5" customFormat="1">
      <c r="E29" s="230"/>
      <c r="F29" s="230"/>
      <c r="G29" s="231"/>
    </row>
    <row r="30" spans="1:7" s="5" customFormat="1">
      <c r="E30" s="230"/>
      <c r="F30" s="230"/>
      <c r="G30" s="231"/>
    </row>
  </sheetData>
  <autoFilter ref="A1:G20" xr:uid="{00000000-0009-0000-0000-000002000000}"/>
  <mergeCells count="5">
    <mergeCell ref="A21:B21"/>
    <mergeCell ref="A19:B19"/>
    <mergeCell ref="A3:B3"/>
    <mergeCell ref="A8:B8"/>
    <mergeCell ref="A14:B14"/>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4099" r:id="rId3" name="Vervolgkeuzelijst 55">
              <controlPr defaultSize="0" autoLine="0" autoPict="0">
                <anchor moveWithCells="1">
                  <from>
                    <xdr:col>4</xdr:col>
                    <xdr:colOff>9525</xdr:colOff>
                    <xdr:row>4</xdr:row>
                    <xdr:rowOff>38100</xdr:rowOff>
                  </from>
                  <to>
                    <xdr:col>4</xdr:col>
                    <xdr:colOff>1533525</xdr:colOff>
                    <xdr:row>4</xdr:row>
                    <xdr:rowOff>228600</xdr:rowOff>
                  </to>
                </anchor>
              </controlPr>
            </control>
          </mc:Choice>
        </mc:AlternateContent>
        <mc:AlternateContent xmlns:mc="http://schemas.openxmlformats.org/markup-compatibility/2006">
          <mc:Choice Requires="x14">
            <control shapeId="4100" r:id="rId4" name="Drop Down 4">
              <controlPr defaultSize="0" autoLine="0" autoPict="0">
                <anchor moveWithCells="1">
                  <from>
                    <xdr:col>4</xdr:col>
                    <xdr:colOff>38100</xdr:colOff>
                    <xdr:row>5</xdr:row>
                    <xdr:rowOff>9525</xdr:rowOff>
                  </from>
                  <to>
                    <xdr:col>6</xdr:col>
                    <xdr:colOff>0</xdr:colOff>
                    <xdr:row>5</xdr:row>
                    <xdr:rowOff>228600</xdr:rowOff>
                  </to>
                </anchor>
              </controlPr>
            </control>
          </mc:Choice>
        </mc:AlternateContent>
        <mc:AlternateContent xmlns:mc="http://schemas.openxmlformats.org/markup-compatibility/2006">
          <mc:Choice Requires="x14">
            <control shapeId="4101" r:id="rId5" name="Drop Down 5">
              <controlPr defaultSize="0" autoLine="0" autoPict="0">
                <anchor moveWithCells="1">
                  <from>
                    <xdr:col>4</xdr:col>
                    <xdr:colOff>47625</xdr:colOff>
                    <xdr:row>6</xdr:row>
                    <xdr:rowOff>19050</xdr:rowOff>
                  </from>
                  <to>
                    <xdr:col>6</xdr:col>
                    <xdr:colOff>9525</xdr:colOff>
                    <xdr:row>6</xdr:row>
                    <xdr:rowOff>209550</xdr:rowOff>
                  </to>
                </anchor>
              </controlPr>
            </control>
          </mc:Choice>
        </mc:AlternateContent>
        <mc:AlternateContent xmlns:mc="http://schemas.openxmlformats.org/markup-compatibility/2006">
          <mc:Choice Requires="x14">
            <control shapeId="4102" r:id="rId6" name="Drop Down 6">
              <controlPr defaultSize="0" autoLine="0" autoPict="0">
                <anchor moveWithCells="1">
                  <from>
                    <xdr:col>4</xdr:col>
                    <xdr:colOff>0</xdr:colOff>
                    <xdr:row>8</xdr:row>
                    <xdr:rowOff>9525</xdr:rowOff>
                  </from>
                  <to>
                    <xdr:col>4</xdr:col>
                    <xdr:colOff>1524000</xdr:colOff>
                    <xdr:row>8</xdr:row>
                    <xdr:rowOff>228600</xdr:rowOff>
                  </to>
                </anchor>
              </controlPr>
            </control>
          </mc:Choice>
        </mc:AlternateContent>
        <mc:AlternateContent xmlns:mc="http://schemas.openxmlformats.org/markup-compatibility/2006">
          <mc:Choice Requires="x14">
            <control shapeId="4103" r:id="rId7" name="Drop Down 7">
              <controlPr defaultSize="0" autoLine="0" autoPict="0">
                <anchor moveWithCells="1">
                  <from>
                    <xdr:col>4</xdr:col>
                    <xdr:colOff>9525</xdr:colOff>
                    <xdr:row>9</xdr:row>
                    <xdr:rowOff>28575</xdr:rowOff>
                  </from>
                  <to>
                    <xdr:col>6</xdr:col>
                    <xdr:colOff>0</xdr:colOff>
                    <xdr:row>9</xdr:row>
                    <xdr:rowOff>238125</xdr:rowOff>
                  </to>
                </anchor>
              </controlPr>
            </control>
          </mc:Choice>
        </mc:AlternateContent>
        <mc:AlternateContent xmlns:mc="http://schemas.openxmlformats.org/markup-compatibility/2006">
          <mc:Choice Requires="x14">
            <control shapeId="4105" r:id="rId8" name="Drop Down 9">
              <controlPr defaultSize="0" autoLine="0" autoPict="0">
                <anchor moveWithCells="1">
                  <from>
                    <xdr:col>4</xdr:col>
                    <xdr:colOff>0</xdr:colOff>
                    <xdr:row>11</xdr:row>
                    <xdr:rowOff>9525</xdr:rowOff>
                  </from>
                  <to>
                    <xdr:col>4</xdr:col>
                    <xdr:colOff>1524000</xdr:colOff>
                    <xdr:row>11</xdr:row>
                    <xdr:rowOff>228600</xdr:rowOff>
                  </to>
                </anchor>
              </controlPr>
            </control>
          </mc:Choice>
        </mc:AlternateContent>
        <mc:AlternateContent xmlns:mc="http://schemas.openxmlformats.org/markup-compatibility/2006">
          <mc:Choice Requires="x14">
            <control shapeId="4106" r:id="rId9" name="Drop Down 10">
              <controlPr defaultSize="0" autoLine="0" autoPict="0">
                <anchor moveWithCells="1">
                  <from>
                    <xdr:col>4</xdr:col>
                    <xdr:colOff>0</xdr:colOff>
                    <xdr:row>12</xdr:row>
                    <xdr:rowOff>9525</xdr:rowOff>
                  </from>
                  <to>
                    <xdr:col>4</xdr:col>
                    <xdr:colOff>1524000</xdr:colOff>
                    <xdr:row>12</xdr:row>
                    <xdr:rowOff>228600</xdr:rowOff>
                  </to>
                </anchor>
              </controlPr>
            </control>
          </mc:Choice>
        </mc:AlternateContent>
        <mc:AlternateContent xmlns:mc="http://schemas.openxmlformats.org/markup-compatibility/2006">
          <mc:Choice Requires="x14">
            <control shapeId="4107" r:id="rId10" name="Drop Down 11">
              <controlPr defaultSize="0" autoLine="0" autoPict="0">
                <anchor moveWithCells="1">
                  <from>
                    <xdr:col>4</xdr:col>
                    <xdr:colOff>0</xdr:colOff>
                    <xdr:row>14</xdr:row>
                    <xdr:rowOff>85725</xdr:rowOff>
                  </from>
                  <to>
                    <xdr:col>4</xdr:col>
                    <xdr:colOff>1524000</xdr:colOff>
                    <xdr:row>14</xdr:row>
                    <xdr:rowOff>304800</xdr:rowOff>
                  </to>
                </anchor>
              </controlPr>
            </control>
          </mc:Choice>
        </mc:AlternateContent>
        <mc:AlternateContent xmlns:mc="http://schemas.openxmlformats.org/markup-compatibility/2006">
          <mc:Choice Requires="x14">
            <control shapeId="4108" r:id="rId11" name="Drop Down 12">
              <controlPr defaultSize="0" autoLine="0" autoPict="0">
                <anchor moveWithCells="1">
                  <from>
                    <xdr:col>4</xdr:col>
                    <xdr:colOff>0</xdr:colOff>
                    <xdr:row>15</xdr:row>
                    <xdr:rowOff>85725</xdr:rowOff>
                  </from>
                  <to>
                    <xdr:col>4</xdr:col>
                    <xdr:colOff>1524000</xdr:colOff>
                    <xdr:row>15</xdr:row>
                    <xdr:rowOff>304800</xdr:rowOff>
                  </to>
                </anchor>
              </controlPr>
            </control>
          </mc:Choice>
        </mc:AlternateContent>
        <mc:AlternateContent xmlns:mc="http://schemas.openxmlformats.org/markup-compatibility/2006">
          <mc:Choice Requires="x14">
            <control shapeId="4109" r:id="rId12" name="Drop Down 13">
              <controlPr defaultSize="0" autoLine="0" autoPict="0">
                <anchor moveWithCells="1">
                  <from>
                    <xdr:col>4</xdr:col>
                    <xdr:colOff>0</xdr:colOff>
                    <xdr:row>16</xdr:row>
                    <xdr:rowOff>85725</xdr:rowOff>
                  </from>
                  <to>
                    <xdr:col>4</xdr:col>
                    <xdr:colOff>1524000</xdr:colOff>
                    <xdr:row>16</xdr:row>
                    <xdr:rowOff>304800</xdr:rowOff>
                  </to>
                </anchor>
              </controlPr>
            </control>
          </mc:Choice>
        </mc:AlternateContent>
        <mc:AlternateContent xmlns:mc="http://schemas.openxmlformats.org/markup-compatibility/2006">
          <mc:Choice Requires="x14">
            <control shapeId="4110" r:id="rId13" name="Drop Down 14">
              <controlPr defaultSize="0" autoLine="0" autoPict="0">
                <anchor moveWithCells="1">
                  <from>
                    <xdr:col>4</xdr:col>
                    <xdr:colOff>0</xdr:colOff>
                    <xdr:row>17</xdr:row>
                    <xdr:rowOff>85725</xdr:rowOff>
                  </from>
                  <to>
                    <xdr:col>4</xdr:col>
                    <xdr:colOff>1524000</xdr:colOff>
                    <xdr:row>17</xdr:row>
                    <xdr:rowOff>304800</xdr:rowOff>
                  </to>
                </anchor>
              </controlPr>
            </control>
          </mc:Choice>
        </mc:AlternateContent>
        <mc:AlternateContent xmlns:mc="http://schemas.openxmlformats.org/markup-compatibility/2006">
          <mc:Choice Requires="x14">
            <control shapeId="4118" r:id="rId14" name="Drop Down 22">
              <controlPr defaultSize="0" autoLine="0" autoPict="0">
                <anchor moveWithCells="1">
                  <from>
                    <xdr:col>4</xdr:col>
                    <xdr:colOff>0</xdr:colOff>
                    <xdr:row>19</xdr:row>
                    <xdr:rowOff>9525</xdr:rowOff>
                  </from>
                  <to>
                    <xdr:col>4</xdr:col>
                    <xdr:colOff>1524000</xdr:colOff>
                    <xdr:row>19</xdr:row>
                    <xdr:rowOff>228600</xdr:rowOff>
                  </to>
                </anchor>
              </controlPr>
            </control>
          </mc:Choice>
        </mc:AlternateContent>
        <mc:AlternateContent xmlns:mc="http://schemas.openxmlformats.org/markup-compatibility/2006">
          <mc:Choice Requires="x14">
            <control shapeId="4126" r:id="rId15" name="Drop Down 30">
              <controlPr defaultSize="0" autoLine="0" autoPict="0">
                <anchor moveWithCells="1">
                  <from>
                    <xdr:col>4</xdr:col>
                    <xdr:colOff>38100</xdr:colOff>
                    <xdr:row>3</xdr:row>
                    <xdr:rowOff>0</xdr:rowOff>
                  </from>
                  <to>
                    <xdr:col>6</xdr:col>
                    <xdr:colOff>0</xdr:colOff>
                    <xdr:row>3</xdr:row>
                    <xdr:rowOff>200025</xdr:rowOff>
                  </to>
                </anchor>
              </controlPr>
            </control>
          </mc:Choice>
        </mc:AlternateContent>
        <mc:AlternateContent xmlns:mc="http://schemas.openxmlformats.org/markup-compatibility/2006">
          <mc:Choice Requires="x14">
            <control shapeId="4135" r:id="rId16" name="Drop Down 39">
              <controlPr defaultSize="0" autoLine="0" autoPict="0">
                <anchor moveWithCells="1">
                  <from>
                    <xdr:col>4</xdr:col>
                    <xdr:colOff>9525</xdr:colOff>
                    <xdr:row>10</xdr:row>
                    <xdr:rowOff>28575</xdr:rowOff>
                  </from>
                  <to>
                    <xdr:col>6</xdr:col>
                    <xdr:colOff>0</xdr:colOff>
                    <xdr:row>10</xdr:row>
                    <xdr:rowOff>238125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E8785E"/>
  </sheetPr>
  <dimension ref="A1:G144"/>
  <sheetViews>
    <sheetView zoomScale="96" zoomScaleNormal="96" workbookViewId="0">
      <pane ySplit="1" topLeftCell="A4" activePane="bottomLeft" state="frozen"/>
      <selection activeCell="B15" sqref="B15"/>
      <selection pane="bottomLeft" activeCell="D6" sqref="D6"/>
    </sheetView>
  </sheetViews>
  <sheetFormatPr defaultColWidth="10.875" defaultRowHeight="15.75"/>
  <cols>
    <col min="1" max="1" width="5.5" style="1" customWidth="1"/>
    <col min="2" max="2" width="26.875" style="4" customWidth="1"/>
    <col min="3" max="3" width="50.875" style="4" customWidth="1"/>
    <col min="4" max="4" width="82" style="2" customWidth="1"/>
    <col min="5" max="5" width="19.875" style="212" customWidth="1"/>
    <col min="6" max="6" width="16.5" style="245" hidden="1" customWidth="1"/>
    <col min="7" max="7" width="61.375" style="247" customWidth="1"/>
    <col min="8" max="16384" width="10.875" style="1"/>
  </cols>
  <sheetData>
    <row r="1" spans="1:7" ht="31.5">
      <c r="A1" s="172" t="s">
        <v>47</v>
      </c>
      <c r="B1" s="173"/>
      <c r="C1" s="173" t="s">
        <v>204</v>
      </c>
      <c r="D1" s="173" t="s">
        <v>102</v>
      </c>
      <c r="E1" s="232" t="s">
        <v>207</v>
      </c>
      <c r="F1" s="233" t="s">
        <v>221</v>
      </c>
      <c r="G1" s="234" t="s">
        <v>233</v>
      </c>
    </row>
    <row r="2" spans="1:7" ht="23.25" hidden="1">
      <c r="A2" s="301" t="s">
        <v>48</v>
      </c>
      <c r="B2" s="302"/>
      <c r="C2" s="121"/>
      <c r="D2" s="26" t="s">
        <v>110</v>
      </c>
      <c r="E2" s="235" t="s">
        <v>188</v>
      </c>
      <c r="F2" s="236">
        <v>4</v>
      </c>
      <c r="G2" s="237"/>
    </row>
    <row r="3" spans="1:7" ht="23.25" hidden="1">
      <c r="A3" s="120"/>
      <c r="B3" s="121"/>
      <c r="C3" s="121"/>
      <c r="D3" s="26"/>
      <c r="E3" s="235">
        <v>5</v>
      </c>
      <c r="F3" s="236"/>
      <c r="G3" s="237"/>
    </row>
    <row r="4" spans="1:7" ht="23.25">
      <c r="A4" s="303" t="s">
        <v>49</v>
      </c>
      <c r="B4" s="304"/>
      <c r="C4" s="174"/>
      <c r="D4" s="175" t="s">
        <v>111</v>
      </c>
      <c r="E4" s="221">
        <v>5</v>
      </c>
      <c r="F4" s="238">
        <v>1</v>
      </c>
      <c r="G4" s="239"/>
    </row>
    <row r="5" spans="1:7" ht="47.25">
      <c r="A5" s="177" t="s">
        <v>53</v>
      </c>
      <c r="B5" s="12" t="s">
        <v>81</v>
      </c>
      <c r="C5" s="19" t="s">
        <v>213</v>
      </c>
      <c r="D5" s="13" t="s">
        <v>82</v>
      </c>
      <c r="E5" s="204"/>
      <c r="F5" s="240">
        <v>1</v>
      </c>
      <c r="G5" s="213"/>
    </row>
    <row r="6" spans="1:7" ht="63">
      <c r="A6" s="177" t="s">
        <v>54</v>
      </c>
      <c r="B6" s="12" t="s">
        <v>347</v>
      </c>
      <c r="C6" s="19" t="s">
        <v>214</v>
      </c>
      <c r="D6" s="13" t="s">
        <v>411</v>
      </c>
      <c r="E6" s="204"/>
      <c r="F6" s="240">
        <v>1</v>
      </c>
      <c r="G6" s="213"/>
    </row>
    <row r="7" spans="1:7" ht="78.75">
      <c r="A7" s="177" t="s">
        <v>55</v>
      </c>
      <c r="B7" s="12" t="s">
        <v>326</v>
      </c>
      <c r="C7" s="19" t="s">
        <v>348</v>
      </c>
      <c r="D7" s="13" t="s">
        <v>387</v>
      </c>
      <c r="E7" s="204"/>
      <c r="F7" s="240"/>
      <c r="G7" s="241"/>
    </row>
    <row r="8" spans="1:7" ht="23.25">
      <c r="A8" s="303" t="s">
        <v>50</v>
      </c>
      <c r="B8" s="304"/>
      <c r="C8" s="174"/>
      <c r="D8" s="175" t="s">
        <v>112</v>
      </c>
      <c r="E8" s="221">
        <v>5</v>
      </c>
      <c r="F8" s="236">
        <v>1</v>
      </c>
      <c r="G8" s="239"/>
    </row>
    <row r="9" spans="1:7" ht="63">
      <c r="A9" s="177" t="s">
        <v>56</v>
      </c>
      <c r="B9" s="12" t="s">
        <v>232</v>
      </c>
      <c r="C9" s="19" t="s">
        <v>215</v>
      </c>
      <c r="D9" s="19" t="s">
        <v>257</v>
      </c>
      <c r="E9" s="204"/>
      <c r="F9" s="240">
        <v>1</v>
      </c>
      <c r="G9" s="213"/>
    </row>
    <row r="10" spans="1:7" ht="63">
      <c r="A10" s="177" t="s">
        <v>57</v>
      </c>
      <c r="B10" s="12" t="s">
        <v>332</v>
      </c>
      <c r="C10" s="19" t="s">
        <v>349</v>
      </c>
      <c r="D10" s="19" t="s">
        <v>331</v>
      </c>
      <c r="E10" s="204"/>
      <c r="F10" s="240"/>
      <c r="G10" s="213"/>
    </row>
    <row r="11" spans="1:7" ht="47.25">
      <c r="A11" s="177" t="s">
        <v>333</v>
      </c>
      <c r="B11" s="12" t="s">
        <v>329</v>
      </c>
      <c r="C11" s="19" t="s">
        <v>350</v>
      </c>
      <c r="D11" s="19" t="s">
        <v>330</v>
      </c>
      <c r="E11" s="228"/>
      <c r="F11" s="240">
        <v>1</v>
      </c>
      <c r="G11" s="214"/>
    </row>
    <row r="12" spans="1:7" ht="23.25">
      <c r="A12" s="303" t="s">
        <v>51</v>
      </c>
      <c r="B12" s="304"/>
      <c r="C12" s="174"/>
      <c r="D12" s="175" t="s">
        <v>113</v>
      </c>
      <c r="E12" s="221">
        <v>5</v>
      </c>
      <c r="F12" s="236">
        <v>1</v>
      </c>
      <c r="G12" s="239"/>
    </row>
    <row r="13" spans="1:7" ht="47.25">
      <c r="A13" s="177" t="s">
        <v>58</v>
      </c>
      <c r="B13" s="12" t="s">
        <v>236</v>
      </c>
      <c r="C13" s="19" t="s">
        <v>386</v>
      </c>
      <c r="D13" s="19" t="s">
        <v>114</v>
      </c>
      <c r="E13" s="228"/>
      <c r="F13" s="240">
        <v>1</v>
      </c>
      <c r="G13" s="213"/>
    </row>
    <row r="14" spans="1:7" ht="23.25">
      <c r="A14" s="305" t="s">
        <v>52</v>
      </c>
      <c r="B14" s="306"/>
      <c r="C14" s="178"/>
      <c r="D14" s="179" t="s">
        <v>115</v>
      </c>
      <c r="E14" s="221">
        <v>5</v>
      </c>
      <c r="F14" s="236">
        <v>1</v>
      </c>
      <c r="G14" s="239"/>
    </row>
    <row r="15" spans="1:7" ht="78.75">
      <c r="A15" s="180" t="s">
        <v>60</v>
      </c>
      <c r="B15" s="6" t="s">
        <v>116</v>
      </c>
      <c r="C15" s="16" t="s">
        <v>383</v>
      </c>
      <c r="D15" s="7" t="s">
        <v>352</v>
      </c>
      <c r="E15" s="204"/>
      <c r="F15" s="240">
        <v>1</v>
      </c>
      <c r="G15" s="214"/>
    </row>
    <row r="16" spans="1:7" ht="63">
      <c r="A16" s="181" t="s">
        <v>61</v>
      </c>
      <c r="B16" s="157" t="s">
        <v>248</v>
      </c>
      <c r="C16" s="158" t="s">
        <v>249</v>
      </c>
      <c r="D16" s="159" t="s">
        <v>384</v>
      </c>
      <c r="E16" s="228"/>
      <c r="F16" s="242">
        <v>1</v>
      </c>
      <c r="G16" s="214"/>
    </row>
    <row r="17" spans="1:7" ht="31.5">
      <c r="A17" s="176" t="s">
        <v>62</v>
      </c>
      <c r="B17" s="12" t="s">
        <v>237</v>
      </c>
      <c r="C17" s="19" t="s">
        <v>351</v>
      </c>
      <c r="D17" s="149" t="s">
        <v>337</v>
      </c>
      <c r="E17" s="228"/>
      <c r="F17" s="243">
        <v>1</v>
      </c>
      <c r="G17" s="214"/>
    </row>
    <row r="18" spans="1:7" ht="47.25">
      <c r="A18" s="182" t="s">
        <v>117</v>
      </c>
      <c r="B18" s="160" t="s">
        <v>328</v>
      </c>
      <c r="C18" s="161" t="s">
        <v>327</v>
      </c>
      <c r="D18" s="162" t="s">
        <v>385</v>
      </c>
      <c r="E18" s="244"/>
      <c r="G18" s="246"/>
    </row>
    <row r="19" spans="1:7">
      <c r="G19" s="246"/>
    </row>
    <row r="20" spans="1:7">
      <c r="G20" s="246"/>
    </row>
    <row r="21" spans="1:7">
      <c r="G21" s="246"/>
    </row>
    <row r="22" spans="1:7">
      <c r="G22" s="246"/>
    </row>
    <row r="23" spans="1:7">
      <c r="G23" s="246"/>
    </row>
    <row r="24" spans="1:7">
      <c r="G24" s="246"/>
    </row>
    <row r="25" spans="1:7">
      <c r="G25" s="246"/>
    </row>
    <row r="26" spans="1:7">
      <c r="G26" s="246"/>
    </row>
    <row r="27" spans="1:7">
      <c r="G27" s="246"/>
    </row>
    <row r="28" spans="1:7">
      <c r="G28" s="246"/>
    </row>
    <row r="29" spans="1:7">
      <c r="G29" s="246"/>
    </row>
    <row r="30" spans="1:7">
      <c r="G30" s="246"/>
    </row>
    <row r="31" spans="1:7">
      <c r="G31" s="246"/>
    </row>
    <row r="32" spans="1:7">
      <c r="G32" s="246"/>
    </row>
    <row r="33" spans="7:7">
      <c r="G33" s="246"/>
    </row>
    <row r="34" spans="7:7">
      <c r="G34" s="246"/>
    </row>
    <row r="35" spans="7:7">
      <c r="G35" s="246"/>
    </row>
    <row r="36" spans="7:7">
      <c r="G36" s="246"/>
    </row>
    <row r="37" spans="7:7">
      <c r="G37" s="246"/>
    </row>
    <row r="38" spans="7:7">
      <c r="G38" s="246"/>
    </row>
    <row r="39" spans="7:7">
      <c r="G39" s="246"/>
    </row>
    <row r="40" spans="7:7">
      <c r="G40" s="246"/>
    </row>
    <row r="41" spans="7:7">
      <c r="G41" s="246"/>
    </row>
    <row r="42" spans="7:7">
      <c r="G42" s="246"/>
    </row>
    <row r="43" spans="7:7">
      <c r="G43" s="246"/>
    </row>
    <row r="44" spans="7:7">
      <c r="G44" s="246"/>
    </row>
    <row r="45" spans="7:7">
      <c r="G45" s="246"/>
    </row>
    <row r="46" spans="7:7">
      <c r="G46" s="246"/>
    </row>
    <row r="47" spans="7:7">
      <c r="G47" s="246"/>
    </row>
    <row r="48" spans="7:7">
      <c r="G48" s="246"/>
    </row>
    <row r="49" spans="7:7">
      <c r="G49" s="246"/>
    </row>
    <row r="50" spans="7:7">
      <c r="G50" s="246"/>
    </row>
    <row r="51" spans="7:7">
      <c r="G51" s="246"/>
    </row>
    <row r="52" spans="7:7">
      <c r="G52" s="246"/>
    </row>
    <row r="53" spans="7:7">
      <c r="G53" s="246"/>
    </row>
    <row r="54" spans="7:7">
      <c r="G54" s="246"/>
    </row>
    <row r="55" spans="7:7">
      <c r="G55" s="246"/>
    </row>
    <row r="56" spans="7:7">
      <c r="G56" s="246"/>
    </row>
    <row r="57" spans="7:7">
      <c r="G57" s="246"/>
    </row>
    <row r="58" spans="7:7">
      <c r="G58" s="246"/>
    </row>
    <row r="59" spans="7:7">
      <c r="G59" s="246"/>
    </row>
    <row r="60" spans="7:7">
      <c r="G60" s="246"/>
    </row>
    <row r="61" spans="7:7">
      <c r="G61" s="246"/>
    </row>
    <row r="62" spans="7:7">
      <c r="G62" s="246"/>
    </row>
    <row r="63" spans="7:7">
      <c r="G63" s="246"/>
    </row>
    <row r="64" spans="7:7">
      <c r="G64" s="246"/>
    </row>
    <row r="65" spans="7:7">
      <c r="G65" s="246"/>
    </row>
    <row r="66" spans="7:7">
      <c r="G66" s="246"/>
    </row>
    <row r="67" spans="7:7">
      <c r="G67" s="246"/>
    </row>
    <row r="68" spans="7:7">
      <c r="G68" s="246"/>
    </row>
    <row r="69" spans="7:7">
      <c r="G69" s="246"/>
    </row>
    <row r="70" spans="7:7">
      <c r="G70" s="246"/>
    </row>
    <row r="71" spans="7:7">
      <c r="G71" s="246"/>
    </row>
    <row r="72" spans="7:7">
      <c r="G72" s="246"/>
    </row>
    <row r="73" spans="7:7">
      <c r="G73" s="246"/>
    </row>
    <row r="74" spans="7:7">
      <c r="G74" s="246"/>
    </row>
    <row r="75" spans="7:7">
      <c r="G75" s="246"/>
    </row>
    <row r="76" spans="7:7">
      <c r="G76" s="246"/>
    </row>
    <row r="77" spans="7:7">
      <c r="G77" s="246"/>
    </row>
    <row r="78" spans="7:7">
      <c r="G78" s="246"/>
    </row>
    <row r="79" spans="7:7">
      <c r="G79" s="246"/>
    </row>
    <row r="80" spans="7:7">
      <c r="G80" s="246"/>
    </row>
    <row r="81" spans="7:7">
      <c r="G81" s="246"/>
    </row>
    <row r="82" spans="7:7">
      <c r="G82" s="246"/>
    </row>
    <row r="83" spans="7:7">
      <c r="G83" s="246"/>
    </row>
    <row r="84" spans="7:7">
      <c r="G84" s="246"/>
    </row>
    <row r="85" spans="7:7">
      <c r="G85" s="246"/>
    </row>
    <row r="86" spans="7:7">
      <c r="G86" s="246"/>
    </row>
    <row r="87" spans="7:7">
      <c r="G87" s="246"/>
    </row>
    <row r="88" spans="7:7">
      <c r="G88" s="246"/>
    </row>
    <row r="89" spans="7:7">
      <c r="G89" s="246"/>
    </row>
    <row r="90" spans="7:7">
      <c r="G90" s="246"/>
    </row>
    <row r="91" spans="7:7">
      <c r="G91" s="246"/>
    </row>
    <row r="92" spans="7:7">
      <c r="G92" s="246"/>
    </row>
    <row r="93" spans="7:7">
      <c r="G93" s="246"/>
    </row>
    <row r="94" spans="7:7">
      <c r="G94" s="246"/>
    </row>
    <row r="95" spans="7:7">
      <c r="G95" s="246"/>
    </row>
    <row r="96" spans="7:7">
      <c r="G96" s="246"/>
    </row>
    <row r="97" spans="7:7">
      <c r="G97" s="246"/>
    </row>
    <row r="98" spans="7:7">
      <c r="G98" s="246"/>
    </row>
    <row r="99" spans="7:7">
      <c r="G99" s="246"/>
    </row>
    <row r="100" spans="7:7">
      <c r="G100" s="246"/>
    </row>
    <row r="101" spans="7:7">
      <c r="G101" s="246"/>
    </row>
    <row r="102" spans="7:7">
      <c r="G102" s="246"/>
    </row>
    <row r="103" spans="7:7">
      <c r="G103" s="246"/>
    </row>
    <row r="104" spans="7:7">
      <c r="G104" s="246"/>
    </row>
    <row r="105" spans="7:7">
      <c r="G105" s="246"/>
    </row>
    <row r="106" spans="7:7">
      <c r="G106" s="246"/>
    </row>
    <row r="107" spans="7:7">
      <c r="G107" s="246"/>
    </row>
    <row r="108" spans="7:7">
      <c r="G108" s="246"/>
    </row>
    <row r="109" spans="7:7">
      <c r="G109" s="246"/>
    </row>
    <row r="110" spans="7:7">
      <c r="G110" s="246"/>
    </row>
    <row r="111" spans="7:7">
      <c r="G111" s="246"/>
    </row>
    <row r="112" spans="7:7">
      <c r="G112" s="246"/>
    </row>
    <row r="113" spans="7:7">
      <c r="G113" s="246"/>
    </row>
    <row r="114" spans="7:7">
      <c r="G114" s="246"/>
    </row>
    <row r="115" spans="7:7">
      <c r="G115" s="246"/>
    </row>
    <row r="116" spans="7:7">
      <c r="G116" s="246"/>
    </row>
    <row r="117" spans="7:7">
      <c r="G117" s="246"/>
    </row>
    <row r="118" spans="7:7">
      <c r="G118" s="246"/>
    </row>
    <row r="119" spans="7:7">
      <c r="G119" s="246"/>
    </row>
    <row r="120" spans="7:7">
      <c r="G120" s="246"/>
    </row>
    <row r="121" spans="7:7">
      <c r="G121" s="246"/>
    </row>
    <row r="122" spans="7:7">
      <c r="G122" s="246"/>
    </row>
    <row r="123" spans="7:7">
      <c r="G123" s="246"/>
    </row>
    <row r="124" spans="7:7">
      <c r="G124" s="246"/>
    </row>
    <row r="125" spans="7:7">
      <c r="G125" s="246"/>
    </row>
    <row r="126" spans="7:7">
      <c r="G126" s="246"/>
    </row>
    <row r="127" spans="7:7">
      <c r="G127" s="246"/>
    </row>
    <row r="128" spans="7:7">
      <c r="G128" s="246"/>
    </row>
    <row r="129" spans="7:7">
      <c r="G129" s="246"/>
    </row>
    <row r="130" spans="7:7">
      <c r="G130" s="246"/>
    </row>
    <row r="131" spans="7:7">
      <c r="G131" s="246"/>
    </row>
    <row r="132" spans="7:7">
      <c r="G132" s="246"/>
    </row>
    <row r="133" spans="7:7">
      <c r="G133" s="246"/>
    </row>
    <row r="134" spans="7:7">
      <c r="G134" s="246"/>
    </row>
    <row r="135" spans="7:7">
      <c r="G135" s="246"/>
    </row>
    <row r="136" spans="7:7">
      <c r="G136" s="246"/>
    </row>
    <row r="137" spans="7:7">
      <c r="G137" s="246"/>
    </row>
    <row r="138" spans="7:7">
      <c r="G138" s="246"/>
    </row>
    <row r="139" spans="7:7">
      <c r="G139" s="246"/>
    </row>
    <row r="140" spans="7:7">
      <c r="G140" s="246"/>
    </row>
    <row r="141" spans="7:7">
      <c r="G141" s="246"/>
    </row>
    <row r="142" spans="7:7">
      <c r="G142" s="246"/>
    </row>
    <row r="143" spans="7:7">
      <c r="G143" s="246"/>
    </row>
    <row r="144" spans="7:7">
      <c r="G144" s="246"/>
    </row>
  </sheetData>
  <autoFilter ref="A1:G17" xr:uid="{00000000-0009-0000-0000-000003000000}"/>
  <mergeCells count="5">
    <mergeCell ref="A2:B2"/>
    <mergeCell ref="A4:B4"/>
    <mergeCell ref="A8:B8"/>
    <mergeCell ref="A12:B12"/>
    <mergeCell ref="A14:B14"/>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5129" r:id="rId3" name="Drop Down 9">
              <controlPr defaultSize="0" autoLine="0" autoPict="0">
                <anchor moveWithCells="1">
                  <from>
                    <xdr:col>4</xdr:col>
                    <xdr:colOff>0</xdr:colOff>
                    <xdr:row>4</xdr:row>
                    <xdr:rowOff>114300</xdr:rowOff>
                  </from>
                  <to>
                    <xdr:col>6</xdr:col>
                    <xdr:colOff>9525</xdr:colOff>
                    <xdr:row>4</xdr:row>
                    <xdr:rowOff>314325</xdr:rowOff>
                  </to>
                </anchor>
              </controlPr>
            </control>
          </mc:Choice>
        </mc:AlternateContent>
        <mc:AlternateContent xmlns:mc="http://schemas.openxmlformats.org/markup-compatibility/2006">
          <mc:Choice Requires="x14">
            <control shapeId="5130" r:id="rId4" name="Drop Down 10">
              <controlPr defaultSize="0" autoLine="0" autoPict="0">
                <anchor moveWithCells="1">
                  <from>
                    <xdr:col>4</xdr:col>
                    <xdr:colOff>0</xdr:colOff>
                    <xdr:row>5</xdr:row>
                    <xdr:rowOff>114300</xdr:rowOff>
                  </from>
                  <to>
                    <xdr:col>6</xdr:col>
                    <xdr:colOff>9525</xdr:colOff>
                    <xdr:row>5</xdr:row>
                    <xdr:rowOff>314325</xdr:rowOff>
                  </to>
                </anchor>
              </controlPr>
            </control>
          </mc:Choice>
        </mc:AlternateContent>
        <mc:AlternateContent xmlns:mc="http://schemas.openxmlformats.org/markup-compatibility/2006">
          <mc:Choice Requires="x14">
            <control shapeId="5132" r:id="rId5" name="Drop Down 12">
              <controlPr defaultSize="0" autoLine="0" autoPict="0">
                <anchor moveWithCells="1">
                  <from>
                    <xdr:col>4</xdr:col>
                    <xdr:colOff>0</xdr:colOff>
                    <xdr:row>8</xdr:row>
                    <xdr:rowOff>114300</xdr:rowOff>
                  </from>
                  <to>
                    <xdr:col>6</xdr:col>
                    <xdr:colOff>9525</xdr:colOff>
                    <xdr:row>8</xdr:row>
                    <xdr:rowOff>314325</xdr:rowOff>
                  </to>
                </anchor>
              </controlPr>
            </control>
          </mc:Choice>
        </mc:AlternateContent>
        <mc:AlternateContent xmlns:mc="http://schemas.openxmlformats.org/markup-compatibility/2006">
          <mc:Choice Requires="x14">
            <control shapeId="5134" r:id="rId6" name="Drop Down 14">
              <controlPr defaultSize="0" autoLine="0" autoPict="0">
                <anchor moveWithCells="1">
                  <from>
                    <xdr:col>3</xdr:col>
                    <xdr:colOff>6248400</xdr:colOff>
                    <xdr:row>12</xdr:row>
                    <xdr:rowOff>0</xdr:rowOff>
                  </from>
                  <to>
                    <xdr:col>4</xdr:col>
                    <xdr:colOff>1514475</xdr:colOff>
                    <xdr:row>12</xdr:row>
                    <xdr:rowOff>200025</xdr:rowOff>
                  </to>
                </anchor>
              </controlPr>
            </control>
          </mc:Choice>
        </mc:AlternateContent>
        <mc:AlternateContent xmlns:mc="http://schemas.openxmlformats.org/markup-compatibility/2006">
          <mc:Choice Requires="x14">
            <control shapeId="5135" r:id="rId7" name="Drop Down 15">
              <controlPr defaultSize="0" autoLine="0" autoPict="0">
                <anchor moveWithCells="1">
                  <from>
                    <xdr:col>3</xdr:col>
                    <xdr:colOff>6248400</xdr:colOff>
                    <xdr:row>14</xdr:row>
                    <xdr:rowOff>114300</xdr:rowOff>
                  </from>
                  <to>
                    <xdr:col>4</xdr:col>
                    <xdr:colOff>1514475</xdr:colOff>
                    <xdr:row>14</xdr:row>
                    <xdr:rowOff>314325</xdr:rowOff>
                  </to>
                </anchor>
              </controlPr>
            </control>
          </mc:Choice>
        </mc:AlternateContent>
        <mc:AlternateContent xmlns:mc="http://schemas.openxmlformats.org/markup-compatibility/2006">
          <mc:Choice Requires="x14">
            <control shapeId="5138" r:id="rId8" name="Drop Down 18">
              <controlPr defaultSize="0" autoLine="0" autoPict="0">
                <anchor moveWithCells="1">
                  <from>
                    <xdr:col>4</xdr:col>
                    <xdr:colOff>0</xdr:colOff>
                    <xdr:row>16</xdr:row>
                    <xdr:rowOff>114300</xdr:rowOff>
                  </from>
                  <to>
                    <xdr:col>6</xdr:col>
                    <xdr:colOff>9525</xdr:colOff>
                    <xdr:row>16</xdr:row>
                    <xdr:rowOff>314325</xdr:rowOff>
                  </to>
                </anchor>
              </controlPr>
            </control>
          </mc:Choice>
        </mc:AlternateContent>
        <mc:AlternateContent xmlns:mc="http://schemas.openxmlformats.org/markup-compatibility/2006">
          <mc:Choice Requires="x14">
            <control shapeId="5141" r:id="rId9" name="Drop Down 21">
              <controlPr defaultSize="0" autoLine="0" autoPict="0">
                <anchor moveWithCells="1">
                  <from>
                    <xdr:col>4</xdr:col>
                    <xdr:colOff>0</xdr:colOff>
                    <xdr:row>6</xdr:row>
                    <xdr:rowOff>114300</xdr:rowOff>
                  </from>
                  <to>
                    <xdr:col>6</xdr:col>
                    <xdr:colOff>9525</xdr:colOff>
                    <xdr:row>6</xdr:row>
                    <xdr:rowOff>314325</xdr:rowOff>
                  </to>
                </anchor>
              </controlPr>
            </control>
          </mc:Choice>
        </mc:AlternateContent>
        <mc:AlternateContent xmlns:mc="http://schemas.openxmlformats.org/markup-compatibility/2006">
          <mc:Choice Requires="x14">
            <control shapeId="5142" r:id="rId10" name="Drop Down 22">
              <controlPr defaultSize="0" autoLine="0" autoPict="0">
                <anchor moveWithCells="1">
                  <from>
                    <xdr:col>4</xdr:col>
                    <xdr:colOff>0</xdr:colOff>
                    <xdr:row>17</xdr:row>
                    <xdr:rowOff>114300</xdr:rowOff>
                  </from>
                  <to>
                    <xdr:col>6</xdr:col>
                    <xdr:colOff>9525</xdr:colOff>
                    <xdr:row>17</xdr:row>
                    <xdr:rowOff>314325</xdr:rowOff>
                  </to>
                </anchor>
              </controlPr>
            </control>
          </mc:Choice>
        </mc:AlternateContent>
        <mc:AlternateContent xmlns:mc="http://schemas.openxmlformats.org/markup-compatibility/2006">
          <mc:Choice Requires="x14">
            <control shapeId="5144" r:id="rId11" name="Drop Down 24">
              <controlPr defaultSize="0" autoLine="0" autoPict="0">
                <anchor moveWithCells="1">
                  <from>
                    <xdr:col>4</xdr:col>
                    <xdr:colOff>0</xdr:colOff>
                    <xdr:row>9</xdr:row>
                    <xdr:rowOff>114300</xdr:rowOff>
                  </from>
                  <to>
                    <xdr:col>6</xdr:col>
                    <xdr:colOff>9525</xdr:colOff>
                    <xdr:row>9</xdr:row>
                    <xdr:rowOff>314325</xdr:rowOff>
                  </to>
                </anchor>
              </controlPr>
            </control>
          </mc:Choice>
        </mc:AlternateContent>
        <mc:AlternateContent xmlns:mc="http://schemas.openxmlformats.org/markup-compatibility/2006">
          <mc:Choice Requires="x14">
            <control shapeId="5145" r:id="rId12" name="Drop Down 25">
              <controlPr defaultSize="0" autoLine="0" autoPict="0">
                <anchor moveWithCells="1">
                  <from>
                    <xdr:col>3</xdr:col>
                    <xdr:colOff>6248400</xdr:colOff>
                    <xdr:row>10</xdr:row>
                    <xdr:rowOff>95250</xdr:rowOff>
                  </from>
                  <to>
                    <xdr:col>5</xdr:col>
                    <xdr:colOff>9525</xdr:colOff>
                    <xdr:row>10</xdr:row>
                    <xdr:rowOff>295275</xdr:rowOff>
                  </to>
                </anchor>
              </controlPr>
            </control>
          </mc:Choice>
        </mc:AlternateContent>
        <mc:AlternateContent xmlns:mc="http://schemas.openxmlformats.org/markup-compatibility/2006">
          <mc:Choice Requires="x14">
            <control shapeId="5146" r:id="rId13" name="Drop Down 26">
              <controlPr defaultSize="0" autoLine="0" autoPict="0">
                <anchor moveWithCells="1">
                  <from>
                    <xdr:col>4</xdr:col>
                    <xdr:colOff>0</xdr:colOff>
                    <xdr:row>15</xdr:row>
                    <xdr:rowOff>0</xdr:rowOff>
                  </from>
                  <to>
                    <xdr:col>6</xdr:col>
                    <xdr:colOff>0</xdr:colOff>
                    <xdr:row>15</xdr:row>
                    <xdr:rowOff>200025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E0A600"/>
  </sheetPr>
  <dimension ref="A1:G18"/>
  <sheetViews>
    <sheetView zoomScaleNormal="100" workbookViewId="0">
      <pane ySplit="1" topLeftCell="A7" activePane="bottomLeft" state="frozen"/>
      <selection activeCell="B15" sqref="B15"/>
      <selection pane="bottomLeft" activeCell="D14" sqref="D14"/>
    </sheetView>
  </sheetViews>
  <sheetFormatPr defaultColWidth="10.875" defaultRowHeight="15.75"/>
  <cols>
    <col min="1" max="1" width="5.5" style="2" customWidth="1"/>
    <col min="2" max="3" width="36" style="4" customWidth="1"/>
    <col min="4" max="4" width="73.5" style="2" customWidth="1"/>
    <col min="5" max="5" width="20.125" style="212" customWidth="1"/>
    <col min="6" max="6" width="16.5" style="212" hidden="1" customWidth="1"/>
    <col min="7" max="7" width="54.5" style="213" customWidth="1"/>
    <col min="8" max="16384" width="10.875" style="2"/>
  </cols>
  <sheetData>
    <row r="1" spans="1:7" s="1" customFormat="1" ht="24" thickBot="1">
      <c r="A1" s="20" t="s">
        <v>15</v>
      </c>
      <c r="B1" s="102"/>
      <c r="C1" s="102" t="s">
        <v>204</v>
      </c>
      <c r="D1" s="102" t="s">
        <v>102</v>
      </c>
      <c r="E1" s="248" t="s">
        <v>207</v>
      </c>
      <c r="F1" s="249" t="s">
        <v>210</v>
      </c>
      <c r="G1" s="250" t="s">
        <v>234</v>
      </c>
    </row>
    <row r="2" spans="1:7">
      <c r="A2" s="14"/>
      <c r="B2" s="12"/>
      <c r="C2" s="19"/>
      <c r="D2" s="13"/>
      <c r="E2" s="251" t="s">
        <v>188</v>
      </c>
      <c r="F2" s="252"/>
      <c r="G2" s="253"/>
    </row>
    <row r="3" spans="1:7" ht="21" customHeight="1">
      <c r="A3" s="307" t="s">
        <v>16</v>
      </c>
      <c r="B3" s="308"/>
      <c r="C3" s="142"/>
      <c r="D3" s="27" t="s">
        <v>118</v>
      </c>
      <c r="E3" s="254">
        <v>5</v>
      </c>
      <c r="F3" s="255">
        <v>1</v>
      </c>
      <c r="G3" s="256"/>
    </row>
    <row r="4" spans="1:7" ht="47.25">
      <c r="A4" s="271" t="s">
        <v>22</v>
      </c>
      <c r="B4" s="12" t="s">
        <v>84</v>
      </c>
      <c r="C4" s="19" t="s">
        <v>118</v>
      </c>
      <c r="D4" s="13" t="s">
        <v>355</v>
      </c>
      <c r="E4" s="204"/>
      <c r="F4" s="252">
        <v>1</v>
      </c>
      <c r="G4" s="253"/>
    </row>
    <row r="5" spans="1:7" ht="31.5">
      <c r="A5" s="307" t="s">
        <v>17</v>
      </c>
      <c r="B5" s="308"/>
      <c r="C5" s="122"/>
      <c r="D5" s="27" t="s">
        <v>119</v>
      </c>
      <c r="E5" s="254">
        <v>5</v>
      </c>
      <c r="F5" s="255"/>
      <c r="G5" s="256"/>
    </row>
    <row r="6" spans="1:7" ht="63">
      <c r="A6" s="271" t="s">
        <v>23</v>
      </c>
      <c r="B6" s="12" t="s">
        <v>356</v>
      </c>
      <c r="C6" s="19" t="s">
        <v>357</v>
      </c>
      <c r="D6" s="13"/>
      <c r="E6" s="204"/>
      <c r="F6" s="252">
        <v>3</v>
      </c>
      <c r="G6" s="257"/>
    </row>
    <row r="7" spans="1:7" ht="47.25">
      <c r="A7" s="271" t="s">
        <v>24</v>
      </c>
      <c r="B7" s="12" t="s">
        <v>306</v>
      </c>
      <c r="C7" s="19" t="s">
        <v>307</v>
      </c>
      <c r="D7" s="13" t="s">
        <v>308</v>
      </c>
      <c r="E7" s="204"/>
      <c r="F7" s="252"/>
      <c r="G7" s="257"/>
    </row>
    <row r="8" spans="1:7" ht="63">
      <c r="A8" s="271" t="s">
        <v>25</v>
      </c>
      <c r="B8" s="12" t="s">
        <v>238</v>
      </c>
      <c r="C8" s="2" t="s">
        <v>358</v>
      </c>
      <c r="D8" s="19" t="s">
        <v>120</v>
      </c>
      <c r="E8" s="204"/>
      <c r="F8" s="252">
        <v>3</v>
      </c>
    </row>
    <row r="9" spans="1:7" ht="21">
      <c r="A9" s="307" t="s">
        <v>18</v>
      </c>
      <c r="B9" s="308"/>
      <c r="C9" s="122"/>
      <c r="D9" s="27"/>
      <c r="E9" s="254">
        <v>5</v>
      </c>
      <c r="F9" s="255"/>
      <c r="G9" s="256"/>
    </row>
    <row r="10" spans="1:7" ht="47.25">
      <c r="A10" s="271" t="s">
        <v>39</v>
      </c>
      <c r="B10" s="12" t="s">
        <v>239</v>
      </c>
      <c r="C10" s="19" t="s">
        <v>353</v>
      </c>
      <c r="D10" s="19" t="s">
        <v>412</v>
      </c>
      <c r="E10" s="228"/>
      <c r="F10" s="252">
        <v>1</v>
      </c>
    </row>
    <row r="11" spans="1:7" ht="47.25">
      <c r="A11" s="271" t="s">
        <v>40</v>
      </c>
      <c r="B11" s="138" t="s">
        <v>240</v>
      </c>
      <c r="C11" s="19" t="s">
        <v>388</v>
      </c>
      <c r="D11" s="19" t="s">
        <v>334</v>
      </c>
      <c r="E11" s="228"/>
      <c r="F11" s="252">
        <v>1</v>
      </c>
      <c r="G11" s="214"/>
    </row>
    <row r="12" spans="1:7" ht="21">
      <c r="A12" s="307" t="s">
        <v>246</v>
      </c>
      <c r="B12" s="308"/>
      <c r="C12" s="122"/>
      <c r="D12" s="122"/>
      <c r="E12" s="254">
        <v>5</v>
      </c>
      <c r="F12" s="255"/>
      <c r="G12" s="256"/>
    </row>
    <row r="13" spans="1:7">
      <c r="A13" s="271" t="s">
        <v>19</v>
      </c>
      <c r="B13" s="12" t="s">
        <v>241</v>
      </c>
      <c r="C13" s="19" t="s">
        <v>389</v>
      </c>
      <c r="D13" s="13" t="s">
        <v>390</v>
      </c>
      <c r="E13" s="204"/>
      <c r="F13" s="252"/>
      <c r="G13" s="258"/>
    </row>
    <row r="14" spans="1:7" ht="47.25">
      <c r="A14" s="271" t="s">
        <v>20</v>
      </c>
      <c r="B14" s="12" t="s">
        <v>242</v>
      </c>
      <c r="C14" s="19" t="s">
        <v>244</v>
      </c>
      <c r="D14" s="13" t="s">
        <v>413</v>
      </c>
      <c r="E14" s="228"/>
      <c r="F14" s="252"/>
      <c r="G14" s="258"/>
    </row>
    <row r="15" spans="1:7" ht="21">
      <c r="A15" s="307" t="s">
        <v>21</v>
      </c>
      <c r="B15" s="308"/>
      <c r="C15" s="122"/>
      <c r="D15" s="27" t="s">
        <v>121</v>
      </c>
      <c r="E15" s="254">
        <v>5</v>
      </c>
      <c r="F15" s="255"/>
      <c r="G15" s="256"/>
    </row>
    <row r="16" spans="1:7" ht="31.5">
      <c r="A16" s="271" t="s">
        <v>26</v>
      </c>
      <c r="B16" s="12" t="s">
        <v>85</v>
      </c>
      <c r="C16" s="19" t="s">
        <v>354</v>
      </c>
      <c r="D16" s="13" t="s">
        <v>335</v>
      </c>
      <c r="E16" s="204"/>
      <c r="F16" s="252">
        <v>1</v>
      </c>
    </row>
    <row r="17" spans="1:6" ht="63">
      <c r="A17" s="271" t="s">
        <v>27</v>
      </c>
      <c r="B17" s="12" t="s">
        <v>243</v>
      </c>
      <c r="C17" s="19" t="s">
        <v>245</v>
      </c>
      <c r="D17" s="19" t="s">
        <v>336</v>
      </c>
      <c r="E17" s="204"/>
      <c r="F17" s="252">
        <v>1</v>
      </c>
    </row>
    <row r="18" spans="1:6" ht="94.5">
      <c r="A18" s="272" t="s">
        <v>310</v>
      </c>
      <c r="B18" s="4" t="s">
        <v>311</v>
      </c>
      <c r="C18" s="5" t="s">
        <v>309</v>
      </c>
    </row>
  </sheetData>
  <autoFilter ref="A1:G17" xr:uid="{00000000-0009-0000-0000-000004000000}"/>
  <mergeCells count="5">
    <mergeCell ref="A3:B3"/>
    <mergeCell ref="A5:B5"/>
    <mergeCell ref="A9:B9"/>
    <mergeCell ref="A12:B12"/>
    <mergeCell ref="A15:B15"/>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7171" r:id="rId3" name="Drop Down 3">
              <controlPr defaultSize="0" autoLine="0" autoPict="0">
                <anchor moveWithCells="1">
                  <from>
                    <xdr:col>4</xdr:col>
                    <xdr:colOff>9525</xdr:colOff>
                    <xdr:row>3</xdr:row>
                    <xdr:rowOff>9525</xdr:rowOff>
                  </from>
                  <to>
                    <xdr:col>6</xdr:col>
                    <xdr:colOff>0</xdr:colOff>
                    <xdr:row>3</xdr:row>
                    <xdr:rowOff>219075</xdr:rowOff>
                  </to>
                </anchor>
              </controlPr>
            </control>
          </mc:Choice>
        </mc:AlternateContent>
        <mc:AlternateContent xmlns:mc="http://schemas.openxmlformats.org/markup-compatibility/2006">
          <mc:Choice Requires="x14">
            <control shapeId="7173" r:id="rId4" name="Drop Down 5">
              <controlPr defaultSize="0" autoLine="0" autoPict="0">
                <anchor moveWithCells="1">
                  <from>
                    <xdr:col>4</xdr:col>
                    <xdr:colOff>9525</xdr:colOff>
                    <xdr:row>5</xdr:row>
                    <xdr:rowOff>9525</xdr:rowOff>
                  </from>
                  <to>
                    <xdr:col>6</xdr:col>
                    <xdr:colOff>0</xdr:colOff>
                    <xdr:row>5</xdr:row>
                    <xdr:rowOff>219075</xdr:rowOff>
                  </to>
                </anchor>
              </controlPr>
            </control>
          </mc:Choice>
        </mc:AlternateContent>
        <mc:AlternateContent xmlns:mc="http://schemas.openxmlformats.org/markup-compatibility/2006">
          <mc:Choice Requires="x14">
            <control shapeId="7176" r:id="rId5" name="Drop Down 8">
              <controlPr defaultSize="0" autoLine="0" autoPict="0">
                <anchor moveWithCells="1">
                  <from>
                    <xdr:col>4</xdr:col>
                    <xdr:colOff>9525</xdr:colOff>
                    <xdr:row>9</xdr:row>
                    <xdr:rowOff>9525</xdr:rowOff>
                  </from>
                  <to>
                    <xdr:col>6</xdr:col>
                    <xdr:colOff>0</xdr:colOff>
                    <xdr:row>9</xdr:row>
                    <xdr:rowOff>219075</xdr:rowOff>
                  </to>
                </anchor>
              </controlPr>
            </control>
          </mc:Choice>
        </mc:AlternateContent>
        <mc:AlternateContent xmlns:mc="http://schemas.openxmlformats.org/markup-compatibility/2006">
          <mc:Choice Requires="x14">
            <control shapeId="7177" r:id="rId6" name="Drop Down 9">
              <controlPr defaultSize="0" autoLine="0" autoPict="0">
                <anchor moveWithCells="1">
                  <from>
                    <xdr:col>4</xdr:col>
                    <xdr:colOff>9525</xdr:colOff>
                    <xdr:row>10</xdr:row>
                    <xdr:rowOff>9525</xdr:rowOff>
                  </from>
                  <to>
                    <xdr:col>6</xdr:col>
                    <xdr:colOff>0</xdr:colOff>
                    <xdr:row>10</xdr:row>
                    <xdr:rowOff>219075</xdr:rowOff>
                  </to>
                </anchor>
              </controlPr>
            </control>
          </mc:Choice>
        </mc:AlternateContent>
        <mc:AlternateContent xmlns:mc="http://schemas.openxmlformats.org/markup-compatibility/2006">
          <mc:Choice Requires="x14">
            <control shapeId="7178" r:id="rId7" name="Drop Down 10">
              <controlPr defaultSize="0" autoLine="0" autoPict="0">
                <anchor moveWithCells="1">
                  <from>
                    <xdr:col>4</xdr:col>
                    <xdr:colOff>9525</xdr:colOff>
                    <xdr:row>12</xdr:row>
                    <xdr:rowOff>9525</xdr:rowOff>
                  </from>
                  <to>
                    <xdr:col>6</xdr:col>
                    <xdr:colOff>0</xdr:colOff>
                    <xdr:row>13</xdr:row>
                    <xdr:rowOff>19050</xdr:rowOff>
                  </to>
                </anchor>
              </controlPr>
            </control>
          </mc:Choice>
        </mc:AlternateContent>
        <mc:AlternateContent xmlns:mc="http://schemas.openxmlformats.org/markup-compatibility/2006">
          <mc:Choice Requires="x14">
            <control shapeId="7179" r:id="rId8" name="Drop Down 11">
              <controlPr defaultSize="0" autoLine="0" autoPict="0">
                <anchor moveWithCells="1">
                  <from>
                    <xdr:col>4</xdr:col>
                    <xdr:colOff>9525</xdr:colOff>
                    <xdr:row>13</xdr:row>
                    <xdr:rowOff>9525</xdr:rowOff>
                  </from>
                  <to>
                    <xdr:col>6</xdr:col>
                    <xdr:colOff>0</xdr:colOff>
                    <xdr:row>13</xdr:row>
                    <xdr:rowOff>219075</xdr:rowOff>
                  </to>
                </anchor>
              </controlPr>
            </control>
          </mc:Choice>
        </mc:AlternateContent>
        <mc:AlternateContent xmlns:mc="http://schemas.openxmlformats.org/markup-compatibility/2006">
          <mc:Choice Requires="x14">
            <control shapeId="7180" r:id="rId9" name="Drop Down 12">
              <controlPr defaultSize="0" autoLine="0" autoPict="0">
                <anchor moveWithCells="1">
                  <from>
                    <xdr:col>4</xdr:col>
                    <xdr:colOff>9525</xdr:colOff>
                    <xdr:row>15</xdr:row>
                    <xdr:rowOff>9525</xdr:rowOff>
                  </from>
                  <to>
                    <xdr:col>6</xdr:col>
                    <xdr:colOff>0</xdr:colOff>
                    <xdr:row>15</xdr:row>
                    <xdr:rowOff>219075</xdr:rowOff>
                  </to>
                </anchor>
              </controlPr>
            </control>
          </mc:Choice>
        </mc:AlternateContent>
        <mc:AlternateContent xmlns:mc="http://schemas.openxmlformats.org/markup-compatibility/2006">
          <mc:Choice Requires="x14">
            <control shapeId="7181" r:id="rId10" name="Drop Down 13">
              <controlPr defaultSize="0" autoLine="0" autoPict="0">
                <anchor moveWithCells="1">
                  <from>
                    <xdr:col>4</xdr:col>
                    <xdr:colOff>9525</xdr:colOff>
                    <xdr:row>16</xdr:row>
                    <xdr:rowOff>9525</xdr:rowOff>
                  </from>
                  <to>
                    <xdr:col>6</xdr:col>
                    <xdr:colOff>0</xdr:colOff>
                    <xdr:row>16</xdr:row>
                    <xdr:rowOff>219075</xdr:rowOff>
                  </to>
                </anchor>
              </controlPr>
            </control>
          </mc:Choice>
        </mc:AlternateContent>
        <mc:AlternateContent xmlns:mc="http://schemas.openxmlformats.org/markup-compatibility/2006">
          <mc:Choice Requires="x14">
            <control shapeId="7182" r:id="rId11" name="Drop Down 14">
              <controlPr defaultSize="0" autoLine="0" autoPict="0">
                <anchor moveWithCells="1">
                  <from>
                    <xdr:col>4</xdr:col>
                    <xdr:colOff>9525</xdr:colOff>
                    <xdr:row>6</xdr:row>
                    <xdr:rowOff>9525</xdr:rowOff>
                  </from>
                  <to>
                    <xdr:col>6</xdr:col>
                    <xdr:colOff>0</xdr:colOff>
                    <xdr:row>6</xdr:row>
                    <xdr:rowOff>219075</xdr:rowOff>
                  </to>
                </anchor>
              </controlPr>
            </control>
          </mc:Choice>
        </mc:AlternateContent>
        <mc:AlternateContent xmlns:mc="http://schemas.openxmlformats.org/markup-compatibility/2006">
          <mc:Choice Requires="x14">
            <control shapeId="7184" r:id="rId12" name="Drop Down 16">
              <controlPr defaultSize="0" autoLine="0" autoPict="0">
                <anchor moveWithCells="1">
                  <from>
                    <xdr:col>4</xdr:col>
                    <xdr:colOff>9525</xdr:colOff>
                    <xdr:row>7</xdr:row>
                    <xdr:rowOff>9525</xdr:rowOff>
                  </from>
                  <to>
                    <xdr:col>6</xdr:col>
                    <xdr:colOff>0</xdr:colOff>
                    <xdr:row>7</xdr:row>
                    <xdr:rowOff>219075</xdr:rowOff>
                  </to>
                </anchor>
              </controlPr>
            </control>
          </mc:Choice>
        </mc:AlternateContent>
        <mc:AlternateContent xmlns:mc="http://schemas.openxmlformats.org/markup-compatibility/2006">
          <mc:Choice Requires="x14">
            <control shapeId="7185" r:id="rId13" name="Drop Down 17">
              <controlPr defaultSize="0" autoLine="0" autoPict="0">
                <anchor moveWithCells="1">
                  <from>
                    <xdr:col>4</xdr:col>
                    <xdr:colOff>9525</xdr:colOff>
                    <xdr:row>17</xdr:row>
                    <xdr:rowOff>9525</xdr:rowOff>
                  </from>
                  <to>
                    <xdr:col>6</xdr:col>
                    <xdr:colOff>0</xdr:colOff>
                    <xdr:row>17</xdr:row>
                    <xdr:rowOff>219075</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52ADF0"/>
  </sheetPr>
  <dimension ref="A1:G16"/>
  <sheetViews>
    <sheetView zoomScaleNormal="100" workbookViewId="0">
      <pane ySplit="1" topLeftCell="A8" activePane="bottomLeft" state="frozen"/>
      <selection activeCell="B15" sqref="B15"/>
      <selection pane="bottomLeft" activeCell="D7" sqref="D7"/>
    </sheetView>
  </sheetViews>
  <sheetFormatPr defaultColWidth="10.875" defaultRowHeight="15.75"/>
  <cols>
    <col min="1" max="1" width="5.5" style="1" customWidth="1"/>
    <col min="2" max="2" width="34.5" style="4" customWidth="1"/>
    <col min="3" max="3" width="52.5" style="4" customWidth="1"/>
    <col min="4" max="4" width="66.625" style="2" customWidth="1"/>
    <col min="5" max="5" width="20.375" style="212" customWidth="1"/>
    <col min="6" max="6" width="16.5" style="245" hidden="1" customWidth="1"/>
    <col min="7" max="7" width="40.375" style="247" customWidth="1"/>
    <col min="8" max="16384" width="10.875" style="1"/>
  </cols>
  <sheetData>
    <row r="1" spans="1:7" ht="31.5">
      <c r="A1" s="21" t="s">
        <v>63</v>
      </c>
      <c r="B1" s="22"/>
      <c r="C1" s="22" t="s">
        <v>204</v>
      </c>
      <c r="D1" s="22" t="s">
        <v>102</v>
      </c>
      <c r="E1" s="259" t="s">
        <v>207</v>
      </c>
      <c r="F1" s="260" t="s">
        <v>221</v>
      </c>
      <c r="G1" s="261" t="s">
        <v>234</v>
      </c>
    </row>
    <row r="2" spans="1:7">
      <c r="A2" s="309" t="s">
        <v>64</v>
      </c>
      <c r="B2" s="310"/>
      <c r="C2" s="123"/>
      <c r="D2" s="28" t="s">
        <v>414</v>
      </c>
      <c r="E2" s="262">
        <v>5</v>
      </c>
      <c r="F2" s="263">
        <v>1</v>
      </c>
      <c r="G2" s="264"/>
    </row>
    <row r="3" spans="1:7" ht="31.5">
      <c r="A3" s="274" t="s">
        <v>67</v>
      </c>
      <c r="B3" s="12" t="s">
        <v>86</v>
      </c>
      <c r="C3" s="19" t="s">
        <v>218</v>
      </c>
      <c r="D3" s="19" t="s">
        <v>391</v>
      </c>
      <c r="E3" s="204"/>
      <c r="F3" s="240">
        <v>1</v>
      </c>
      <c r="G3" s="213"/>
    </row>
    <row r="4" spans="1:7" ht="47.25">
      <c r="A4" s="274" t="s">
        <v>68</v>
      </c>
      <c r="B4" s="12" t="s">
        <v>290</v>
      </c>
      <c r="C4" s="19" t="s">
        <v>288</v>
      </c>
      <c r="D4" s="19" t="s">
        <v>392</v>
      </c>
      <c r="E4" s="204"/>
      <c r="F4" s="240"/>
      <c r="G4" s="213"/>
    </row>
    <row r="5" spans="1:7" ht="31.5">
      <c r="A5" s="274" t="s">
        <v>302</v>
      </c>
      <c r="B5" s="12" t="s">
        <v>289</v>
      </c>
      <c r="C5" s="19" t="s">
        <v>415</v>
      </c>
      <c r="D5" s="19"/>
      <c r="E5" s="204"/>
      <c r="F5" s="240"/>
      <c r="G5" s="213"/>
    </row>
    <row r="6" spans="1:7" ht="31.5">
      <c r="A6" s="274" t="s">
        <v>303</v>
      </c>
      <c r="B6" s="12" t="s">
        <v>416</v>
      </c>
      <c r="C6" s="19" t="s">
        <v>394</v>
      </c>
      <c r="D6" s="19" t="s">
        <v>393</v>
      </c>
      <c r="E6" s="228"/>
      <c r="F6" s="240">
        <v>1</v>
      </c>
      <c r="G6" s="213"/>
    </row>
    <row r="7" spans="1:7">
      <c r="A7" s="309" t="s">
        <v>65</v>
      </c>
      <c r="B7" s="310"/>
      <c r="C7" s="123"/>
      <c r="D7" s="28" t="s">
        <v>417</v>
      </c>
      <c r="E7" s="262">
        <v>5</v>
      </c>
      <c r="F7" s="263">
        <v>1</v>
      </c>
      <c r="G7" s="264"/>
    </row>
    <row r="8" spans="1:7" ht="78.75">
      <c r="A8" s="274" t="s">
        <v>69</v>
      </c>
      <c r="B8" s="12" t="s">
        <v>229</v>
      </c>
      <c r="C8" s="19" t="s">
        <v>219</v>
      </c>
      <c r="D8" s="19" t="s">
        <v>395</v>
      </c>
      <c r="E8" s="228"/>
      <c r="F8" s="240">
        <v>1</v>
      </c>
      <c r="G8" s="213"/>
    </row>
    <row r="9" spans="1:7" ht="63">
      <c r="A9" s="274" t="s">
        <v>70</v>
      </c>
      <c r="B9" s="12" t="s">
        <v>360</v>
      </c>
      <c r="C9" s="19" t="s">
        <v>396</v>
      </c>
      <c r="D9" s="19" t="s">
        <v>292</v>
      </c>
      <c r="E9" s="228"/>
      <c r="F9" s="240"/>
      <c r="G9" s="213"/>
    </row>
    <row r="10" spans="1:7" ht="63">
      <c r="A10" s="274" t="s">
        <v>291</v>
      </c>
      <c r="B10" s="12" t="s">
        <v>297</v>
      </c>
      <c r="C10" s="19" t="s">
        <v>293</v>
      </c>
      <c r="D10" s="19"/>
      <c r="E10" s="228"/>
      <c r="F10" s="240"/>
      <c r="G10" s="213"/>
    </row>
    <row r="11" spans="1:7" ht="47.25">
      <c r="A11" s="274" t="s">
        <v>298</v>
      </c>
      <c r="B11" s="12" t="s">
        <v>359</v>
      </c>
      <c r="C11" s="19" t="s">
        <v>294</v>
      </c>
      <c r="D11" s="13" t="s">
        <v>295</v>
      </c>
      <c r="E11" s="204"/>
      <c r="F11" s="240"/>
      <c r="G11" s="213"/>
    </row>
    <row r="12" spans="1:7" ht="31.5">
      <c r="A12" s="309" t="s">
        <v>66</v>
      </c>
      <c r="B12" s="310"/>
      <c r="C12" s="123"/>
      <c r="D12" s="28" t="s">
        <v>122</v>
      </c>
      <c r="E12" s="262">
        <v>5</v>
      </c>
      <c r="F12" s="265">
        <v>1</v>
      </c>
      <c r="G12" s="213"/>
    </row>
    <row r="13" spans="1:7" ht="47.25">
      <c r="A13" s="273" t="s">
        <v>71</v>
      </c>
      <c r="B13" s="12" t="s">
        <v>296</v>
      </c>
      <c r="C13" s="19" t="s">
        <v>216</v>
      </c>
      <c r="D13" s="19" t="s">
        <v>83</v>
      </c>
      <c r="E13" s="204"/>
      <c r="F13" s="243">
        <v>1</v>
      </c>
      <c r="G13" s="257"/>
    </row>
    <row r="14" spans="1:7" ht="63">
      <c r="A14" s="273" t="s">
        <v>304</v>
      </c>
      <c r="B14" s="268" t="s">
        <v>301</v>
      </c>
      <c r="C14" s="156" t="s">
        <v>299</v>
      </c>
      <c r="D14" s="13"/>
    </row>
    <row r="15" spans="1:7" ht="79.5" thickBot="1">
      <c r="A15" s="273" t="s">
        <v>305</v>
      </c>
      <c r="B15" s="183" t="s">
        <v>361</v>
      </c>
      <c r="C15" s="184" t="s">
        <v>300</v>
      </c>
      <c r="D15" s="185"/>
      <c r="E15" s="266"/>
    </row>
    <row r="16" spans="1:7" ht="16.5" thickTop="1"/>
  </sheetData>
  <autoFilter ref="A1:G14" xr:uid="{00000000-0009-0000-0000-000005000000}"/>
  <mergeCells count="3">
    <mergeCell ref="A2:B2"/>
    <mergeCell ref="A7:B7"/>
    <mergeCell ref="A12:B12"/>
  </mergeCells>
  <phoneticPr fontId="4" type="noConversion"/>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5" r:id="rId3" name="Drop Down 3">
              <controlPr defaultSize="0" autoLine="0" autoPict="0">
                <anchor moveWithCells="1">
                  <from>
                    <xdr:col>4</xdr:col>
                    <xdr:colOff>9525</xdr:colOff>
                    <xdr:row>2</xdr:row>
                    <xdr:rowOff>9525</xdr:rowOff>
                  </from>
                  <to>
                    <xdr:col>4</xdr:col>
                    <xdr:colOff>1533525</xdr:colOff>
                    <xdr:row>2</xdr:row>
                    <xdr:rowOff>219075</xdr:rowOff>
                  </to>
                </anchor>
              </controlPr>
            </control>
          </mc:Choice>
        </mc:AlternateContent>
        <mc:AlternateContent xmlns:mc="http://schemas.openxmlformats.org/markup-compatibility/2006">
          <mc:Choice Requires="x14">
            <control shapeId="8198" r:id="rId4" name="Drop Down 6">
              <controlPr defaultSize="0" autoLine="0" autoPict="0">
                <anchor moveWithCells="1">
                  <from>
                    <xdr:col>4</xdr:col>
                    <xdr:colOff>9525</xdr:colOff>
                    <xdr:row>12</xdr:row>
                    <xdr:rowOff>9525</xdr:rowOff>
                  </from>
                  <to>
                    <xdr:col>4</xdr:col>
                    <xdr:colOff>1533525</xdr:colOff>
                    <xdr:row>12</xdr:row>
                    <xdr:rowOff>219075</xdr:rowOff>
                  </to>
                </anchor>
              </controlPr>
            </control>
          </mc:Choice>
        </mc:AlternateContent>
        <mc:AlternateContent xmlns:mc="http://schemas.openxmlformats.org/markup-compatibility/2006">
          <mc:Choice Requires="x14">
            <control shapeId="8203" r:id="rId5" name="Drop Down 11">
              <controlPr defaultSize="0" autoLine="0" autoPict="0">
                <anchor moveWithCells="1">
                  <from>
                    <xdr:col>4</xdr:col>
                    <xdr:colOff>9525</xdr:colOff>
                    <xdr:row>3</xdr:row>
                    <xdr:rowOff>9525</xdr:rowOff>
                  </from>
                  <to>
                    <xdr:col>4</xdr:col>
                    <xdr:colOff>1533525</xdr:colOff>
                    <xdr:row>3</xdr:row>
                    <xdr:rowOff>219075</xdr:rowOff>
                  </to>
                </anchor>
              </controlPr>
            </control>
          </mc:Choice>
        </mc:AlternateContent>
        <mc:AlternateContent xmlns:mc="http://schemas.openxmlformats.org/markup-compatibility/2006">
          <mc:Choice Requires="x14">
            <control shapeId="8204" r:id="rId6" name="Drop Down 12">
              <controlPr defaultSize="0" autoLine="0" autoPict="0">
                <anchor moveWithCells="1">
                  <from>
                    <xdr:col>4</xdr:col>
                    <xdr:colOff>9525</xdr:colOff>
                    <xdr:row>4</xdr:row>
                    <xdr:rowOff>9525</xdr:rowOff>
                  </from>
                  <to>
                    <xdr:col>4</xdr:col>
                    <xdr:colOff>1533525</xdr:colOff>
                    <xdr:row>4</xdr:row>
                    <xdr:rowOff>219075</xdr:rowOff>
                  </to>
                </anchor>
              </controlPr>
            </control>
          </mc:Choice>
        </mc:AlternateContent>
        <mc:AlternateContent xmlns:mc="http://schemas.openxmlformats.org/markup-compatibility/2006">
          <mc:Choice Requires="x14">
            <control shapeId="8207" r:id="rId7" name="Drop Down 15">
              <controlPr defaultSize="0" autoLine="0" autoPict="0">
                <anchor moveWithCells="1">
                  <from>
                    <xdr:col>4</xdr:col>
                    <xdr:colOff>9525</xdr:colOff>
                    <xdr:row>5</xdr:row>
                    <xdr:rowOff>9525</xdr:rowOff>
                  </from>
                  <to>
                    <xdr:col>4</xdr:col>
                    <xdr:colOff>1533525</xdr:colOff>
                    <xdr:row>5</xdr:row>
                    <xdr:rowOff>219075</xdr:rowOff>
                  </to>
                </anchor>
              </controlPr>
            </control>
          </mc:Choice>
        </mc:AlternateContent>
        <mc:AlternateContent xmlns:mc="http://schemas.openxmlformats.org/markup-compatibility/2006">
          <mc:Choice Requires="x14">
            <control shapeId="8209" r:id="rId8" name="Drop Down 17">
              <controlPr defaultSize="0" autoLine="0" autoPict="0">
                <anchor moveWithCells="1">
                  <from>
                    <xdr:col>3</xdr:col>
                    <xdr:colOff>5076825</xdr:colOff>
                    <xdr:row>7</xdr:row>
                    <xdr:rowOff>57150</xdr:rowOff>
                  </from>
                  <to>
                    <xdr:col>4</xdr:col>
                    <xdr:colOff>1524000</xdr:colOff>
                    <xdr:row>7</xdr:row>
                    <xdr:rowOff>266700</xdr:rowOff>
                  </to>
                </anchor>
              </controlPr>
            </control>
          </mc:Choice>
        </mc:AlternateContent>
        <mc:AlternateContent xmlns:mc="http://schemas.openxmlformats.org/markup-compatibility/2006">
          <mc:Choice Requires="x14">
            <control shapeId="8211" r:id="rId9" name="Drop Down 19">
              <controlPr defaultSize="0" autoLine="0" autoPict="0">
                <anchor moveWithCells="1">
                  <from>
                    <xdr:col>4</xdr:col>
                    <xdr:colOff>28575</xdr:colOff>
                    <xdr:row>8</xdr:row>
                    <xdr:rowOff>28575</xdr:rowOff>
                  </from>
                  <to>
                    <xdr:col>5</xdr:col>
                    <xdr:colOff>0</xdr:colOff>
                    <xdr:row>8</xdr:row>
                    <xdr:rowOff>247650</xdr:rowOff>
                  </to>
                </anchor>
              </controlPr>
            </control>
          </mc:Choice>
        </mc:AlternateContent>
        <mc:AlternateContent xmlns:mc="http://schemas.openxmlformats.org/markup-compatibility/2006">
          <mc:Choice Requires="x14">
            <control shapeId="8213" r:id="rId10" name="Drop Down 21">
              <controlPr defaultSize="0" autoLine="0" autoPict="0">
                <anchor moveWithCells="1">
                  <from>
                    <xdr:col>4</xdr:col>
                    <xdr:colOff>28575</xdr:colOff>
                    <xdr:row>9</xdr:row>
                    <xdr:rowOff>28575</xdr:rowOff>
                  </from>
                  <to>
                    <xdr:col>5</xdr:col>
                    <xdr:colOff>0</xdr:colOff>
                    <xdr:row>9</xdr:row>
                    <xdr:rowOff>238125</xdr:rowOff>
                  </to>
                </anchor>
              </controlPr>
            </control>
          </mc:Choice>
        </mc:AlternateContent>
        <mc:AlternateContent xmlns:mc="http://schemas.openxmlformats.org/markup-compatibility/2006">
          <mc:Choice Requires="x14">
            <control shapeId="8214" r:id="rId11" name="Drop Down 22">
              <controlPr defaultSize="0" autoLine="0" autoPict="0">
                <anchor moveWithCells="1">
                  <from>
                    <xdr:col>4</xdr:col>
                    <xdr:colOff>47625</xdr:colOff>
                    <xdr:row>10</xdr:row>
                    <xdr:rowOff>28575</xdr:rowOff>
                  </from>
                  <to>
                    <xdr:col>6</xdr:col>
                    <xdr:colOff>19050</xdr:colOff>
                    <xdr:row>10</xdr:row>
                    <xdr:rowOff>238125</xdr:rowOff>
                  </to>
                </anchor>
              </controlPr>
            </control>
          </mc:Choice>
        </mc:AlternateContent>
        <mc:AlternateContent xmlns:mc="http://schemas.openxmlformats.org/markup-compatibility/2006">
          <mc:Choice Requires="x14">
            <control shapeId="8215" r:id="rId12" name="Drop Down 23">
              <controlPr defaultSize="0" autoLine="0" autoPict="0">
                <anchor moveWithCells="1">
                  <from>
                    <xdr:col>4</xdr:col>
                    <xdr:colOff>9525</xdr:colOff>
                    <xdr:row>13</xdr:row>
                    <xdr:rowOff>9525</xdr:rowOff>
                  </from>
                  <to>
                    <xdr:col>4</xdr:col>
                    <xdr:colOff>1533525</xdr:colOff>
                    <xdr:row>13</xdr:row>
                    <xdr:rowOff>219075</xdr:rowOff>
                  </to>
                </anchor>
              </controlPr>
            </control>
          </mc:Choice>
        </mc:AlternateContent>
        <mc:AlternateContent xmlns:mc="http://schemas.openxmlformats.org/markup-compatibility/2006">
          <mc:Choice Requires="x14">
            <control shapeId="8216" r:id="rId13" name="Drop Down 24">
              <controlPr defaultSize="0" autoLine="0" autoPict="0">
                <anchor moveWithCells="1">
                  <from>
                    <xdr:col>4</xdr:col>
                    <xdr:colOff>9525</xdr:colOff>
                    <xdr:row>14</xdr:row>
                    <xdr:rowOff>9525</xdr:rowOff>
                  </from>
                  <to>
                    <xdr:col>4</xdr:col>
                    <xdr:colOff>1533525</xdr:colOff>
                    <xdr:row>14</xdr:row>
                    <xdr:rowOff>219075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1"/>
  <sheetViews>
    <sheetView zoomScale="200" zoomScaleNormal="120" workbookViewId="0">
      <selection activeCell="D50" sqref="D50"/>
    </sheetView>
  </sheetViews>
  <sheetFormatPr defaultColWidth="10.875" defaultRowHeight="15.75"/>
  <cols>
    <col min="1" max="1" width="22" style="2" customWidth="1"/>
    <col min="2" max="4" width="17" style="3" customWidth="1"/>
    <col min="5" max="5" width="10.875" style="2"/>
    <col min="6" max="6" width="46.375" style="2" customWidth="1"/>
    <col min="7" max="16384" width="10.875" style="2"/>
  </cols>
  <sheetData>
    <row r="1" spans="1:6" ht="31.5">
      <c r="A1" s="9" t="s">
        <v>101</v>
      </c>
      <c r="B1" s="10" t="s">
        <v>87</v>
      </c>
      <c r="C1" s="10" t="s">
        <v>88</v>
      </c>
      <c r="D1" s="10" t="s">
        <v>89</v>
      </c>
      <c r="F1" s="2" t="s">
        <v>123</v>
      </c>
    </row>
    <row r="2" spans="1:6">
      <c r="A2" s="11"/>
      <c r="B2" s="8"/>
      <c r="C2" s="8"/>
      <c r="D2" s="8"/>
    </row>
    <row r="3" spans="1:6">
      <c r="A3" s="11" t="s">
        <v>90</v>
      </c>
      <c r="B3" s="8" t="s">
        <v>91</v>
      </c>
      <c r="C3" s="8"/>
      <c r="D3" s="8"/>
    </row>
    <row r="4" spans="1:6">
      <c r="A4" s="11"/>
      <c r="B4" s="8"/>
      <c r="C4" s="8"/>
      <c r="D4" s="8"/>
    </row>
    <row r="5" spans="1:6">
      <c r="A5" s="11" t="s">
        <v>92</v>
      </c>
      <c r="B5" s="8" t="s">
        <v>91</v>
      </c>
      <c r="C5" s="8"/>
      <c r="D5" s="8"/>
    </row>
    <row r="6" spans="1:6">
      <c r="A6" s="11"/>
      <c r="B6" s="8"/>
      <c r="C6" s="8"/>
      <c r="D6" s="8"/>
    </row>
    <row r="7" spans="1:6">
      <c r="A7" s="11" t="s">
        <v>93</v>
      </c>
      <c r="B7" s="8" t="s">
        <v>91</v>
      </c>
      <c r="C7" s="8"/>
      <c r="D7" s="8"/>
    </row>
    <row r="8" spans="1:6">
      <c r="A8" s="11"/>
      <c r="B8" s="8"/>
      <c r="C8" s="8"/>
      <c r="D8" s="8"/>
    </row>
    <row r="9" spans="1:6">
      <c r="A9" s="11" t="s">
        <v>94</v>
      </c>
      <c r="B9" s="8" t="s">
        <v>91</v>
      </c>
      <c r="C9" s="8" t="s">
        <v>91</v>
      </c>
      <c r="D9" s="8" t="s">
        <v>91</v>
      </c>
    </row>
    <row r="10" spans="1:6">
      <c r="A10" s="11"/>
      <c r="B10" s="8"/>
      <c r="C10" s="8"/>
      <c r="D10" s="8"/>
    </row>
    <row r="11" spans="1:6">
      <c r="A11" s="11" t="s">
        <v>95</v>
      </c>
      <c r="B11" s="8" t="s">
        <v>91</v>
      </c>
      <c r="C11" s="8" t="s">
        <v>91</v>
      </c>
      <c r="D11" s="8" t="s">
        <v>91</v>
      </c>
    </row>
    <row r="12" spans="1:6">
      <c r="A12" s="11"/>
      <c r="B12" s="8"/>
      <c r="C12" s="8"/>
      <c r="D12" s="8"/>
    </row>
    <row r="13" spans="1:6">
      <c r="A13" s="11" t="s">
        <v>96</v>
      </c>
      <c r="B13" s="8" t="s">
        <v>91</v>
      </c>
      <c r="C13" s="8" t="s">
        <v>91</v>
      </c>
      <c r="D13" s="8" t="s">
        <v>91</v>
      </c>
    </row>
    <row r="14" spans="1:6">
      <c r="A14" s="11"/>
      <c r="B14" s="8"/>
      <c r="C14" s="8"/>
      <c r="D14" s="8"/>
    </row>
    <row r="15" spans="1:6">
      <c r="A15" s="11" t="s">
        <v>97</v>
      </c>
      <c r="B15" s="8"/>
      <c r="C15" s="8" t="s">
        <v>91</v>
      </c>
      <c r="D15" s="8" t="s">
        <v>91</v>
      </c>
    </row>
    <row r="16" spans="1:6">
      <c r="A16" s="11"/>
      <c r="B16" s="8"/>
      <c r="C16" s="8"/>
      <c r="D16" s="8"/>
    </row>
    <row r="17" spans="1:4">
      <c r="A17" s="11" t="s">
        <v>98</v>
      </c>
      <c r="B17" s="8"/>
      <c r="C17" s="8" t="s">
        <v>91</v>
      </c>
      <c r="D17" s="8" t="s">
        <v>91</v>
      </c>
    </row>
    <row r="18" spans="1:4">
      <c r="A18" s="11"/>
      <c r="B18" s="8"/>
      <c r="C18" s="8"/>
      <c r="D18" s="8"/>
    </row>
    <row r="19" spans="1:4">
      <c r="A19" s="11" t="s">
        <v>99</v>
      </c>
      <c r="B19" s="8"/>
      <c r="C19" s="8" t="s">
        <v>91</v>
      </c>
      <c r="D19" s="8" t="s">
        <v>91</v>
      </c>
    </row>
    <row r="20" spans="1:4">
      <c r="A20" s="11"/>
      <c r="B20" s="8"/>
      <c r="C20" s="8"/>
      <c r="D20" s="8"/>
    </row>
    <row r="21" spans="1:4">
      <c r="A21" s="11" t="s">
        <v>100</v>
      </c>
      <c r="B21" s="8"/>
      <c r="C21" s="8"/>
      <c r="D21" s="8" t="s">
        <v>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pageSetUpPr autoPageBreaks="0" fitToPage="1"/>
  </sheetPr>
  <dimension ref="B1:U39"/>
  <sheetViews>
    <sheetView topLeftCell="B22" zoomScaleNormal="100" workbookViewId="0">
      <selection activeCell="B8" sqref="A8:XFD8"/>
    </sheetView>
  </sheetViews>
  <sheetFormatPr defaultColWidth="11.5" defaultRowHeight="15"/>
  <cols>
    <col min="1" max="1" width="2.875" style="39" customWidth="1"/>
    <col min="2" max="2" width="53" style="39" customWidth="1"/>
    <col min="3" max="3" width="18" style="39" customWidth="1"/>
    <col min="4" max="4" width="16.375" style="39" customWidth="1"/>
    <col min="5" max="5" width="10.5" style="53" customWidth="1"/>
    <col min="6" max="6" width="10.5" style="53" hidden="1" customWidth="1"/>
    <col min="7" max="7" width="98.5" style="39" customWidth="1"/>
    <col min="8" max="14" width="11.5" style="39"/>
    <col min="15" max="15" width="21.625" style="39" bestFit="1" customWidth="1"/>
    <col min="16" max="16384" width="11.5" style="39"/>
  </cols>
  <sheetData>
    <row r="1" spans="2:21" ht="81" customHeight="1">
      <c r="B1" s="115" t="s">
        <v>191</v>
      </c>
      <c r="C1" s="116"/>
      <c r="D1" s="311"/>
      <c r="E1" s="311"/>
      <c r="F1" s="311"/>
      <c r="G1" s="311"/>
      <c r="H1" s="311"/>
      <c r="I1" s="311"/>
      <c r="J1" s="311"/>
      <c r="K1" s="311"/>
      <c r="L1" s="311"/>
      <c r="M1" s="311"/>
      <c r="N1" s="311"/>
      <c r="O1" s="311"/>
      <c r="P1" s="311"/>
      <c r="Q1" s="311"/>
      <c r="R1" s="311"/>
      <c r="S1" s="311"/>
      <c r="T1" s="311"/>
      <c r="U1" s="311"/>
    </row>
    <row r="2" spans="2:21" ht="13.5" customHeight="1">
      <c r="D2" s="40"/>
      <c r="E2" s="40"/>
      <c r="F2" s="40"/>
      <c r="G2" s="40"/>
    </row>
    <row r="3" spans="2:21" ht="62.25" customHeight="1">
      <c r="B3" s="125" t="str">
        <f>Strategie!$A$1</f>
        <v>Strategie</v>
      </c>
      <c r="C3" s="42" t="s">
        <v>187</v>
      </c>
      <c r="D3" s="42" t="s">
        <v>188</v>
      </c>
      <c r="E3" s="42" t="s">
        <v>189</v>
      </c>
      <c r="F3" s="43" t="s">
        <v>189</v>
      </c>
      <c r="G3" s="126" t="s">
        <v>0</v>
      </c>
      <c r="H3"/>
      <c r="I3" s="105"/>
      <c r="J3" s="106"/>
      <c r="K3" s="106"/>
      <c r="L3" s="106"/>
      <c r="M3" s="106"/>
      <c r="N3" s="106"/>
      <c r="O3" s="127" t="s">
        <v>217</v>
      </c>
      <c r="P3" s="106"/>
      <c r="Q3" s="106"/>
      <c r="R3" s="106"/>
      <c r="S3" s="106"/>
      <c r="T3" s="106"/>
      <c r="U3" s="107"/>
    </row>
    <row r="4" spans="2:21" ht="50.25" customHeight="1">
      <c r="B4" s="44" t="str">
        <f>Strategie!$A$3</f>
        <v>Governance</v>
      </c>
      <c r="C4" s="45" t="str">
        <f>IFERROR(AVERAGE(_output!C3:C11),"")</f>
        <v/>
      </c>
      <c r="D4" s="45">
        <f>Strategie!E3</f>
        <v>5</v>
      </c>
      <c r="E4" s="46" t="e">
        <f t="shared" ref="E4:E8" si="0">D4-C4</f>
        <v>#VALUE!</v>
      </c>
      <c r="F4" s="47" t="e">
        <f>D4-C4</f>
        <v>#VALUE!</v>
      </c>
      <c r="G4" s="312"/>
      <c r="I4" s="108"/>
      <c r="J4" s="109"/>
      <c r="K4" s="109"/>
      <c r="L4" s="109"/>
      <c r="M4" s="109"/>
      <c r="N4" s="109"/>
      <c r="O4" s="109"/>
      <c r="P4" s="109"/>
      <c r="Q4" s="109"/>
      <c r="R4" s="109"/>
      <c r="S4" s="109"/>
      <c r="T4" s="109"/>
      <c r="U4" s="110"/>
    </row>
    <row r="5" spans="2:21" ht="50.25" customHeight="1">
      <c r="B5" s="44" t="str">
        <f>Strategie!$A$13</f>
        <v>Visie</v>
      </c>
      <c r="C5" s="45" t="str">
        <f>IFERROR(AVERAGE(_output!C19:C22),"")</f>
        <v/>
      </c>
      <c r="D5" s="45">
        <f>Strategie!E13</f>
        <v>5</v>
      </c>
      <c r="E5" s="46" t="e">
        <f t="shared" si="0"/>
        <v>#VALUE!</v>
      </c>
      <c r="F5" s="47" t="e">
        <f>D5-C5</f>
        <v>#VALUE!</v>
      </c>
      <c r="G5" s="313"/>
      <c r="I5" s="108"/>
      <c r="J5" s="109"/>
      <c r="K5" s="109"/>
      <c r="L5" s="109"/>
      <c r="M5" s="109"/>
      <c r="N5" s="109"/>
      <c r="O5" s="109"/>
      <c r="P5" s="109"/>
      <c r="Q5" s="109"/>
      <c r="R5" s="109"/>
      <c r="S5" s="109"/>
      <c r="T5" s="109"/>
      <c r="U5" s="110"/>
    </row>
    <row r="6" spans="2:21" ht="50.25" customHeight="1">
      <c r="B6" s="44" t="str">
        <f>Strategie!A18</f>
        <v>Business Case</v>
      </c>
      <c r="C6" s="45" t="str">
        <f>IFERROR(AVERAGE(_output!C26:C29),"")</f>
        <v/>
      </c>
      <c r="D6" s="45">
        <f>Strategie!E18</f>
        <v>5</v>
      </c>
      <c r="E6" s="46" t="e">
        <f t="shared" si="0"/>
        <v>#VALUE!</v>
      </c>
      <c r="F6" s="47"/>
      <c r="G6" s="313"/>
      <c r="I6" s="108"/>
      <c r="J6" s="109"/>
      <c r="K6" s="109"/>
      <c r="L6" s="109"/>
      <c r="M6" s="109"/>
      <c r="N6" s="109"/>
      <c r="O6" s="109"/>
      <c r="P6" s="109"/>
      <c r="Q6" s="109"/>
      <c r="R6" s="109"/>
      <c r="S6" s="109"/>
      <c r="T6" s="109"/>
      <c r="U6" s="110"/>
    </row>
    <row r="7" spans="2:21" ht="50.25" customHeight="1">
      <c r="B7" s="44" t="str">
        <f>Strategie!$A$23</f>
        <v>Financiën</v>
      </c>
      <c r="C7" s="45" t="str">
        <f>IFERROR(AVERAGE(_output!C32:C35),"")</f>
        <v/>
      </c>
      <c r="D7" s="45">
        <f>Strategie!E23</f>
        <v>5</v>
      </c>
      <c r="E7" s="46" t="e">
        <f t="shared" si="0"/>
        <v>#VALUE!</v>
      </c>
      <c r="F7" s="47" t="e">
        <f>D7-C7</f>
        <v>#VALUE!</v>
      </c>
      <c r="G7" s="313"/>
      <c r="I7" s="108"/>
      <c r="J7" s="109"/>
      <c r="K7" s="109"/>
      <c r="L7" s="109"/>
      <c r="M7" s="109"/>
      <c r="N7" s="109"/>
      <c r="O7" s="109"/>
      <c r="P7" s="109"/>
      <c r="Q7" s="109"/>
      <c r="R7" s="109"/>
      <c r="S7" s="109"/>
      <c r="T7" s="109"/>
      <c r="U7" s="110"/>
    </row>
    <row r="8" spans="2:21" ht="51.75" customHeight="1">
      <c r="B8" s="48" t="s">
        <v>190</v>
      </c>
      <c r="C8" s="49" t="e">
        <f>AVERAGE(C4:C7)</f>
        <v>#DIV/0!</v>
      </c>
      <c r="D8" s="50">
        <f>AVERAGE(D4:D7)</f>
        <v>5</v>
      </c>
      <c r="E8" s="46" t="e">
        <f t="shared" si="0"/>
        <v>#DIV/0!</v>
      </c>
      <c r="F8" s="52" t="e">
        <f>D8-C8</f>
        <v>#DIV/0!</v>
      </c>
      <c r="G8" s="314"/>
      <c r="I8" s="108"/>
      <c r="J8" s="109"/>
      <c r="K8" s="109"/>
      <c r="L8" s="109"/>
      <c r="M8" s="109"/>
      <c r="N8" s="109"/>
      <c r="O8" s="109"/>
      <c r="P8" s="109"/>
      <c r="Q8" s="109"/>
      <c r="R8" s="109"/>
      <c r="S8" s="109"/>
      <c r="T8" s="109"/>
      <c r="U8" s="110"/>
    </row>
    <row r="9" spans="2:21" ht="30" customHeight="1">
      <c r="B9" s="53">
        <v>5</v>
      </c>
      <c r="C9" s="53"/>
      <c r="D9" s="53"/>
      <c r="I9" s="108"/>
      <c r="J9" s="109"/>
      <c r="K9" s="109"/>
      <c r="L9" s="109"/>
      <c r="M9" s="109"/>
      <c r="N9" s="109"/>
      <c r="O9" s="109"/>
      <c r="P9" s="109"/>
      <c r="Q9" s="109"/>
      <c r="R9" s="109"/>
      <c r="S9" s="109"/>
      <c r="T9" s="109"/>
      <c r="U9" s="110"/>
    </row>
    <row r="10" spans="2:21" ht="48.75" customHeight="1">
      <c r="B10" s="41" t="str">
        <f>Tactiek!$A$1</f>
        <v>Tactiek</v>
      </c>
      <c r="C10" s="42" t="s">
        <v>187</v>
      </c>
      <c r="D10" s="42" t="s">
        <v>188</v>
      </c>
      <c r="E10" s="42" t="s">
        <v>189</v>
      </c>
      <c r="F10" s="43" t="s">
        <v>189</v>
      </c>
      <c r="G10" s="62" t="s">
        <v>28</v>
      </c>
      <c r="I10" s="108"/>
      <c r="J10" s="109"/>
      <c r="K10" s="109"/>
      <c r="L10" s="109"/>
      <c r="M10" s="109"/>
      <c r="N10" s="109"/>
      <c r="O10" s="109"/>
      <c r="P10" s="109"/>
      <c r="Q10" s="109"/>
      <c r="R10" s="109"/>
      <c r="S10" s="109"/>
      <c r="T10" s="109"/>
      <c r="U10" s="110"/>
    </row>
    <row r="11" spans="2:21" ht="51.95" customHeight="1">
      <c r="B11" s="44" t="str">
        <f>Tactiek!A3</f>
        <v>Werkgroepen</v>
      </c>
      <c r="C11" s="45" t="str">
        <f>IFERROR(AVERAGE(_output!C37:C42),"")</f>
        <v/>
      </c>
      <c r="D11" s="45">
        <f>Tactiek!E3</f>
        <v>5</v>
      </c>
      <c r="E11" s="46" t="e">
        <f>D11-C11</f>
        <v>#VALUE!</v>
      </c>
      <c r="G11" s="63"/>
      <c r="I11" s="108"/>
      <c r="J11" s="109"/>
      <c r="K11" s="109"/>
      <c r="L11" s="109"/>
      <c r="M11" s="109"/>
      <c r="N11" s="109"/>
      <c r="O11" s="109"/>
      <c r="P11" s="109"/>
      <c r="Q11" s="109"/>
      <c r="R11" s="109"/>
      <c r="S11" s="109"/>
      <c r="T11" s="109"/>
      <c r="U11" s="110"/>
    </row>
    <row r="12" spans="2:21" ht="51.95" customHeight="1">
      <c r="B12" s="44" t="str">
        <f>Tactiek!A8</f>
        <v>Adoptie &amp; Erkenning</v>
      </c>
      <c r="C12" s="45" t="str">
        <f>IFERROR(AVERAGE(_output!C45:C49),"")</f>
        <v/>
      </c>
      <c r="D12" s="45">
        <f>Tactiek!E8</f>
        <v>5</v>
      </c>
      <c r="E12" s="46" t="e">
        <f>D12-C12</f>
        <v>#VALUE!</v>
      </c>
      <c r="G12" s="64"/>
      <c r="I12" s="108"/>
      <c r="J12" s="109"/>
      <c r="K12" s="109"/>
      <c r="L12" s="109"/>
      <c r="M12" s="109"/>
      <c r="N12" s="109"/>
      <c r="O12" s="109"/>
      <c r="P12" s="109"/>
      <c r="Q12" s="109"/>
      <c r="R12" s="109"/>
      <c r="S12" s="109"/>
      <c r="T12" s="109"/>
      <c r="U12" s="110"/>
    </row>
    <row r="13" spans="2:21" ht="51.95" customHeight="1">
      <c r="B13" s="44" t="str">
        <f>Tactiek!A14</f>
        <v>Architectuur</v>
      </c>
      <c r="C13" s="45" t="str">
        <f>IFERROR(AVERAGE(_output!C52:C57),"")</f>
        <v/>
      </c>
      <c r="D13" s="45">
        <f>Tactiek!E14</f>
        <v>5</v>
      </c>
      <c r="E13" s="46" t="e">
        <f>D13-C13</f>
        <v>#VALUE!</v>
      </c>
      <c r="G13" s="64"/>
      <c r="I13" s="108"/>
      <c r="J13" s="109"/>
      <c r="K13" s="109"/>
      <c r="L13" s="109"/>
      <c r="M13" s="109"/>
      <c r="N13" s="109"/>
      <c r="O13" s="109"/>
      <c r="P13" s="109"/>
      <c r="Q13" s="109"/>
      <c r="R13" s="109"/>
      <c r="S13" s="109"/>
      <c r="T13" s="109"/>
      <c r="U13" s="110"/>
    </row>
    <row r="14" spans="2:21" ht="51.95" customHeight="1">
      <c r="B14" s="44" t="str">
        <f>Tactiek!A19</f>
        <v>Roadmapping</v>
      </c>
      <c r="C14" s="45" t="str">
        <f>IFERROR(AVERAGE(_output!C60:C62),"")</f>
        <v/>
      </c>
      <c r="D14" s="45">
        <f>Tactiek!E19</f>
        <v>5</v>
      </c>
      <c r="E14" s="46" t="e">
        <f>D14-C14</f>
        <v>#VALUE!</v>
      </c>
      <c r="G14" s="64"/>
      <c r="I14" s="108"/>
      <c r="J14" s="109"/>
      <c r="K14" s="109"/>
      <c r="L14" s="109"/>
      <c r="M14" s="109"/>
      <c r="N14" s="109"/>
      <c r="O14" s="109"/>
      <c r="P14" s="109"/>
      <c r="Q14" s="109"/>
      <c r="R14" s="109"/>
      <c r="S14" s="109"/>
      <c r="T14" s="109"/>
      <c r="U14" s="110"/>
    </row>
    <row r="15" spans="2:21" ht="48" customHeight="1">
      <c r="B15" s="48" t="s">
        <v>190</v>
      </c>
      <c r="C15" s="49" t="e">
        <f>AVERAGE(C11:C14)</f>
        <v>#DIV/0!</v>
      </c>
      <c r="D15" s="50">
        <f>AVERAGE(D12:D14)</f>
        <v>5</v>
      </c>
      <c r="E15" s="46" t="e">
        <f t="shared" ref="E15" si="1">D15-C15</f>
        <v>#DIV/0!</v>
      </c>
      <c r="G15" s="65"/>
      <c r="I15" s="108"/>
      <c r="J15" s="109"/>
      <c r="K15" s="109"/>
      <c r="L15" s="109"/>
      <c r="M15" s="109"/>
      <c r="N15" s="109"/>
      <c r="O15" s="109"/>
      <c r="P15" s="109"/>
      <c r="Q15" s="109"/>
      <c r="R15" s="109"/>
      <c r="S15" s="109"/>
      <c r="T15" s="109"/>
      <c r="U15" s="110"/>
    </row>
    <row r="16" spans="2:21" ht="32.25" customHeight="1">
      <c r="I16" s="108"/>
      <c r="J16" s="109"/>
      <c r="K16" s="109"/>
      <c r="L16" s="109"/>
      <c r="M16" s="109"/>
      <c r="N16" s="109"/>
      <c r="O16" s="109"/>
      <c r="P16" s="109"/>
      <c r="Q16" s="109"/>
      <c r="R16" s="109"/>
      <c r="S16" s="109"/>
      <c r="T16" s="109"/>
      <c r="U16" s="110"/>
    </row>
    <row r="17" spans="2:21" ht="48.75" customHeight="1">
      <c r="B17" s="41" t="str">
        <f>Operationeel!A1</f>
        <v>Operationeel</v>
      </c>
      <c r="C17" s="42" t="s">
        <v>187</v>
      </c>
      <c r="D17" s="42" t="s">
        <v>188</v>
      </c>
      <c r="E17" s="42" t="s">
        <v>189</v>
      </c>
      <c r="F17" s="43" t="s">
        <v>189</v>
      </c>
      <c r="G17" s="62" t="str">
        <f>Operationeel!A1</f>
        <v>Operationeel</v>
      </c>
      <c r="I17" s="108"/>
      <c r="J17" s="109"/>
      <c r="K17" s="109"/>
      <c r="L17" s="109"/>
      <c r="M17" s="109"/>
      <c r="N17" s="109"/>
      <c r="O17" s="109"/>
      <c r="P17" s="109"/>
      <c r="Q17" s="109"/>
      <c r="R17" s="109"/>
      <c r="S17" s="109"/>
      <c r="T17" s="109"/>
      <c r="U17" s="110"/>
    </row>
    <row r="18" spans="2:21" ht="51.95" customHeight="1">
      <c r="B18" s="44" t="str">
        <f>Operationeel!A4</f>
        <v>Wensen &amp; eisen</v>
      </c>
      <c r="C18" s="45" t="str">
        <f>IFERROR(AVERAGE(_output!C73:C76),"")</f>
        <v/>
      </c>
      <c r="D18" s="45">
        <f>Operationeel!E4</f>
        <v>5</v>
      </c>
      <c r="E18" s="46" t="e">
        <f>D18-C18</f>
        <v>#VALUE!</v>
      </c>
      <c r="G18" s="63"/>
      <c r="I18" s="108"/>
      <c r="J18" s="109"/>
      <c r="K18" s="109"/>
      <c r="L18" s="109"/>
      <c r="M18" s="109"/>
      <c r="N18" s="109"/>
      <c r="O18" s="109"/>
      <c r="P18" s="109"/>
      <c r="Q18" s="109"/>
      <c r="R18" s="109"/>
      <c r="S18" s="109"/>
      <c r="T18" s="109"/>
      <c r="U18" s="110"/>
    </row>
    <row r="19" spans="2:21" ht="51.95" customHeight="1">
      <c r="B19" s="44" t="str">
        <f>Operationeel!A8</f>
        <v>Ontwikkeling</v>
      </c>
      <c r="C19" s="45" t="str">
        <f>IFERROR(AVERAGE(_output!C79:C82),"")</f>
        <v/>
      </c>
      <c r="D19" s="45">
        <f>Operationeel!E8</f>
        <v>5</v>
      </c>
      <c r="E19" s="46" t="e">
        <f t="shared" ref="E19:E22" si="2">D19-C19</f>
        <v>#VALUE!</v>
      </c>
      <c r="G19" s="64"/>
      <c r="I19" s="111"/>
      <c r="J19" s="112"/>
      <c r="K19" s="112"/>
      <c r="L19" s="112"/>
      <c r="M19" s="112"/>
      <c r="N19" s="112"/>
      <c r="O19" s="112"/>
      <c r="P19" s="112"/>
      <c r="Q19" s="112"/>
      <c r="R19" s="112"/>
      <c r="S19" s="112"/>
      <c r="T19" s="112"/>
      <c r="U19" s="113"/>
    </row>
    <row r="20" spans="2:21" ht="51.95" customHeight="1">
      <c r="B20" s="44" t="str">
        <f>Operationeel!A12</f>
        <v>Uitvoering</v>
      </c>
      <c r="C20" s="45" t="str">
        <f>IFERROR(AVERAGE(_output!C85:C87),"")</f>
        <v/>
      </c>
      <c r="D20" s="45">
        <f>Operationeel!E12</f>
        <v>5</v>
      </c>
      <c r="E20" s="46" t="e">
        <f t="shared" si="2"/>
        <v>#VALUE!</v>
      </c>
      <c r="G20" s="64"/>
    </row>
    <row r="21" spans="2:21" ht="51.95" customHeight="1">
      <c r="B21" s="44" t="str">
        <f>Operationeel!A14</f>
        <v>Documentatie</v>
      </c>
      <c r="C21" s="45" t="str">
        <f>IFERROR(AVERAGE(_output!C90:C94),"")</f>
        <v/>
      </c>
      <c r="D21" s="45">
        <f>Operationeel!E14</f>
        <v>5</v>
      </c>
      <c r="E21" s="51" t="e">
        <f t="shared" si="2"/>
        <v>#VALUE!</v>
      </c>
      <c r="G21" s="64"/>
      <c r="O21" s="117"/>
    </row>
    <row r="22" spans="2:21" ht="48" customHeight="1">
      <c r="B22" s="48" t="s">
        <v>190</v>
      </c>
      <c r="C22" s="49" t="e">
        <f>AVERAGE(C18:C21)</f>
        <v>#DIV/0!</v>
      </c>
      <c r="D22" s="50">
        <f>AVERAGE(D19:D21)</f>
        <v>5</v>
      </c>
      <c r="E22" s="51" t="e">
        <f t="shared" si="2"/>
        <v>#DIV/0!</v>
      </c>
      <c r="G22" s="65"/>
      <c r="P22" s="114"/>
    </row>
    <row r="23" spans="2:21" ht="29.1" customHeight="1"/>
    <row r="24" spans="2:21" ht="48.75" customHeight="1">
      <c r="B24" s="41" t="str">
        <f>'Implementatie Ondersteuning'!$A$1</f>
        <v>Implementatie Ondersteuning</v>
      </c>
      <c r="C24" s="42" t="s">
        <v>187</v>
      </c>
      <c r="D24" s="42" t="s">
        <v>188</v>
      </c>
      <c r="E24" s="42" t="s">
        <v>189</v>
      </c>
      <c r="F24" s="43" t="s">
        <v>189</v>
      </c>
      <c r="G24" s="62" t="str">
        <f>B24</f>
        <v>Implementatie Ondersteuning</v>
      </c>
    </row>
    <row r="25" spans="2:21" ht="51.95" customHeight="1">
      <c r="B25" s="44" t="str">
        <f>'Implementatie Ondersteuning'!A3</f>
        <v>Opleiding</v>
      </c>
      <c r="C25" s="45" t="str">
        <f>IFERROR(AVERAGE(_output!C97:C101),"")</f>
        <v/>
      </c>
      <c r="D25" s="45">
        <f>'Implementatie Ondersteuning'!E3</f>
        <v>5</v>
      </c>
      <c r="E25" s="46" t="e">
        <f>D25-C25</f>
        <v>#VALUE!</v>
      </c>
      <c r="G25" s="63"/>
    </row>
    <row r="26" spans="2:21" ht="51.95" customHeight="1">
      <c r="B26" s="44" t="str">
        <f>'Implementatie Ondersteuning'!A5</f>
        <v>Helpdesk</v>
      </c>
      <c r="C26" s="45" t="str">
        <f>IFERROR(AVERAGE(_output!C106:C111),"")</f>
        <v/>
      </c>
      <c r="D26" s="45">
        <f>'Implementatie Ondersteuning'!E5</f>
        <v>5</v>
      </c>
      <c r="E26" s="46" t="e">
        <f t="shared" ref="E26:E30" si="3">D26-C26</f>
        <v>#VALUE!</v>
      </c>
      <c r="G26" s="64"/>
    </row>
    <row r="27" spans="2:21" ht="51.95" customHeight="1">
      <c r="B27" s="44" t="str">
        <f>'Implementatie Ondersteuning'!A9</f>
        <v>Module Ontwikkeling</v>
      </c>
      <c r="C27" s="45" t="str">
        <f>IFERROR(AVERAGE(_output!C114:C118),"")</f>
        <v/>
      </c>
      <c r="D27" s="45">
        <f>'Implementatie Ondersteuning'!E9</f>
        <v>5</v>
      </c>
      <c r="E27" s="46" t="e">
        <f t="shared" si="3"/>
        <v>#VALUE!</v>
      </c>
      <c r="G27" s="64"/>
    </row>
    <row r="28" spans="2:21" ht="51.95" customHeight="1">
      <c r="B28" s="44" t="str">
        <f>'Implementatie Ondersteuning'!A12</f>
        <v>Pilot/vernieuwing</v>
      </c>
      <c r="C28" s="45" t="str">
        <f>IFERROR(AVERAGE(_output!C121:C124),"")</f>
        <v/>
      </c>
      <c r="D28" s="45">
        <f>'Implementatie Ondersteuning'!E12</f>
        <v>5</v>
      </c>
      <c r="E28" s="51" t="e">
        <f t="shared" si="3"/>
        <v>#VALUE!</v>
      </c>
      <c r="G28" s="64"/>
    </row>
    <row r="29" spans="2:21" ht="51.95" customHeight="1">
      <c r="B29" s="103" t="str">
        <f>'Implementatie Ondersteuning'!A15</f>
        <v>Validatie &amp; Certificatie</v>
      </c>
      <c r="C29" s="45" t="str">
        <f>IFERROR(AVERAGE(_output!C127:C134),"")</f>
        <v/>
      </c>
      <c r="D29" s="104">
        <f>'Implementatie Ondersteuning'!E15</f>
        <v>5</v>
      </c>
      <c r="E29" s="51" t="e">
        <f t="shared" si="3"/>
        <v>#VALUE!</v>
      </c>
      <c r="G29" s="64"/>
    </row>
    <row r="30" spans="2:21" ht="48" customHeight="1">
      <c r="B30" s="48" t="s">
        <v>190</v>
      </c>
      <c r="C30" s="49" t="e">
        <f>AVERAGE(C25:C29)</f>
        <v>#DIV/0!</v>
      </c>
      <c r="D30" s="50">
        <f>AVERAGE(D26:D28)</f>
        <v>5</v>
      </c>
      <c r="E30" s="51" t="e">
        <f t="shared" si="3"/>
        <v>#DIV/0!</v>
      </c>
      <c r="G30" s="65"/>
    </row>
    <row r="31" spans="2:21" ht="30" customHeight="1"/>
    <row r="32" spans="2:21" ht="48.75" customHeight="1">
      <c r="B32" s="41" t="str">
        <f>Communicatie!$A$1</f>
        <v>Communicatie</v>
      </c>
      <c r="C32" s="42" t="s">
        <v>187</v>
      </c>
      <c r="D32" s="42" t="s">
        <v>188</v>
      </c>
      <c r="E32" s="42" t="s">
        <v>189</v>
      </c>
      <c r="F32" s="43" t="s">
        <v>189</v>
      </c>
      <c r="G32" s="62" t="str">
        <f>B32</f>
        <v>Communicatie</v>
      </c>
    </row>
    <row r="33" spans="2:7" ht="51.95" customHeight="1">
      <c r="B33" s="44" t="str">
        <f>Communicatie!$A$2</f>
        <v>Promotie</v>
      </c>
      <c r="C33" s="45" t="str">
        <f>IFERROR(AVERAGE(_output!C138:C141),"")</f>
        <v/>
      </c>
      <c r="D33" s="45">
        <f>Communicatie!E2</f>
        <v>5</v>
      </c>
      <c r="E33" s="46" t="e">
        <f>D33-C33</f>
        <v>#VALUE!</v>
      </c>
      <c r="G33" s="63"/>
    </row>
    <row r="34" spans="2:7" ht="51.95" customHeight="1">
      <c r="B34" s="44" t="str">
        <f>Communicatie!$A$7</f>
        <v>Publicatie</v>
      </c>
      <c r="C34" s="45" t="str">
        <f>IFERROR(AVERAGE(_output!C144:C147),"")</f>
        <v/>
      </c>
      <c r="D34" s="45">
        <f>Communicatie!E7</f>
        <v>5</v>
      </c>
      <c r="E34" s="46" t="e">
        <f t="shared" ref="E34:E36" si="4">D34-C34</f>
        <v>#VALUE!</v>
      </c>
      <c r="G34" s="64"/>
    </row>
    <row r="35" spans="2:7" ht="51.95" customHeight="1">
      <c r="B35" s="44" t="str">
        <f>Communicatie!$A$12</f>
        <v>Klachtenafhandeling</v>
      </c>
      <c r="C35" s="45" t="str">
        <f>IFERROR(AVERAGE(_output!C149:C151),"")</f>
        <v/>
      </c>
      <c r="D35" s="45">
        <f>Communicatie!E12</f>
        <v>5</v>
      </c>
      <c r="E35" s="46" t="e">
        <f t="shared" si="4"/>
        <v>#VALUE!</v>
      </c>
      <c r="G35" s="64"/>
    </row>
    <row r="36" spans="2:7" ht="48" customHeight="1">
      <c r="B36" s="48" t="s">
        <v>190</v>
      </c>
      <c r="C36" s="49" t="e">
        <f>AVERAGE(C33:C35)</f>
        <v>#DIV/0!</v>
      </c>
      <c r="D36" s="50">
        <f>AVERAGE(D34:D35)</f>
        <v>5</v>
      </c>
      <c r="E36" s="51" t="e">
        <f t="shared" si="4"/>
        <v>#DIV/0!</v>
      </c>
      <c r="G36" s="65"/>
    </row>
    <row r="37" spans="2:7">
      <c r="E37" s="39"/>
      <c r="F37" s="39"/>
    </row>
    <row r="38" spans="2:7">
      <c r="E38" s="39"/>
      <c r="F38" s="39"/>
    </row>
    <row r="39" spans="2:7">
      <c r="E39" s="39"/>
      <c r="F39" s="39"/>
    </row>
  </sheetData>
  <mergeCells count="6">
    <mergeCell ref="T1:U1"/>
    <mergeCell ref="D1:G1"/>
    <mergeCell ref="G4:G8"/>
    <mergeCell ref="H1:K1"/>
    <mergeCell ref="L1:O1"/>
    <mergeCell ref="P1:S1"/>
  </mergeCells>
  <conditionalFormatting sqref="C4:D7 C11:D14">
    <cfRule type="cellIs" dxfId="11" priority="70" operator="greaterThanOrEqual">
      <formula>4</formula>
    </cfRule>
    <cfRule type="cellIs" dxfId="10" priority="71" operator="between">
      <formula>2</formula>
      <formula>3.9</formula>
    </cfRule>
    <cfRule type="cellIs" dxfId="9" priority="72" operator="between">
      <formula>1</formula>
      <formula>1.9</formula>
    </cfRule>
  </conditionalFormatting>
  <conditionalFormatting sqref="C18:D21">
    <cfRule type="cellIs" dxfId="8" priority="39" operator="greaterThanOrEqual">
      <formula>4</formula>
    </cfRule>
    <cfRule type="cellIs" dxfId="7" priority="40" operator="between">
      <formula>2</formula>
      <formula>3.9</formula>
    </cfRule>
    <cfRule type="cellIs" dxfId="6" priority="41" operator="between">
      <formula>1</formula>
      <formula>1.9</formula>
    </cfRule>
  </conditionalFormatting>
  <conditionalFormatting sqref="C25:D29">
    <cfRule type="cellIs" dxfId="5" priority="28" operator="greaterThanOrEqual">
      <formula>4</formula>
    </cfRule>
    <cfRule type="cellIs" dxfId="4" priority="29" operator="between">
      <formula>2</formula>
      <formula>3.9</formula>
    </cfRule>
    <cfRule type="cellIs" dxfId="3" priority="30" operator="between">
      <formula>1</formula>
      <formula>1.9</formula>
    </cfRule>
  </conditionalFormatting>
  <conditionalFormatting sqref="C33:D35">
    <cfRule type="cellIs" dxfId="2" priority="20" operator="greaterThanOrEqual">
      <formula>4</formula>
    </cfRule>
    <cfRule type="cellIs" dxfId="1" priority="21" operator="between">
      <formula>2</formula>
      <formula>3.9</formula>
    </cfRule>
    <cfRule type="cellIs" dxfId="0" priority="22" operator="between">
      <formula>1</formula>
      <formula>1.9</formula>
    </cfRule>
  </conditionalFormatting>
  <conditionalFormatting sqref="E4:E8">
    <cfRule type="iconSet" priority="90">
      <iconSet iconSet="5Rating" showValue="0" reverse="1">
        <cfvo type="percent" val="0"/>
        <cfvo type="num" val="2"/>
        <cfvo type="num" val="3"/>
        <cfvo type="num" val="4"/>
        <cfvo type="num" val="5"/>
      </iconSet>
    </cfRule>
  </conditionalFormatting>
  <conditionalFormatting sqref="E11:E14">
    <cfRule type="iconSet" priority="88">
      <iconSet iconSet="5Rating" showValue="0" reverse="1">
        <cfvo type="percent" val="0"/>
        <cfvo type="num" val="2"/>
        <cfvo type="num" val="3"/>
        <cfvo type="num" val="4"/>
        <cfvo type="num" val="5"/>
      </iconSet>
    </cfRule>
  </conditionalFormatting>
  <conditionalFormatting sqref="E15">
    <cfRule type="iconSet" priority="13">
      <iconSet iconSet="5Rating" showValue="0" reverse="1">
        <cfvo type="percent" val="0"/>
        <cfvo type="num" val="2"/>
        <cfvo type="num" val="3"/>
        <cfvo type="num" val="4"/>
        <cfvo type="num" val="5"/>
      </iconSet>
    </cfRule>
  </conditionalFormatting>
  <conditionalFormatting sqref="E18:E22">
    <cfRule type="iconSet" priority="37">
      <iconSet iconSet="5Rating" showValue="0" reverse="1">
        <cfvo type="percent" val="0"/>
        <cfvo type="num" val="2"/>
        <cfvo type="num" val="3"/>
        <cfvo type="num" val="4"/>
        <cfvo type="num" val="5"/>
      </iconSet>
    </cfRule>
  </conditionalFormatting>
  <conditionalFormatting sqref="E25:E29">
    <cfRule type="iconSet" priority="26">
      <iconSet iconSet="5Rating" showValue="0" reverse="1">
        <cfvo type="percent" val="0"/>
        <cfvo type="num" val="2"/>
        <cfvo type="num" val="3"/>
        <cfvo type="num" val="4"/>
        <cfvo type="num" val="5"/>
      </iconSet>
    </cfRule>
  </conditionalFormatting>
  <conditionalFormatting sqref="E30">
    <cfRule type="iconSet" priority="10">
      <iconSet iconSet="5Rating" showValue="0" reverse="1">
        <cfvo type="percent" val="0"/>
        <cfvo type="num" val="2"/>
        <cfvo type="num" val="3"/>
        <cfvo type="num" val="4"/>
        <cfvo type="num" val="5"/>
      </iconSet>
    </cfRule>
  </conditionalFormatting>
  <conditionalFormatting sqref="E33:E36">
    <cfRule type="iconSet" priority="79">
      <iconSet iconSet="5Rating" showValue="0" reverse="1">
        <cfvo type="percent" val="0"/>
        <cfvo type="num" val="2"/>
        <cfvo type="num" val="3"/>
        <cfvo type="num" val="4"/>
        <cfvo type="num" val="5"/>
      </iconSet>
    </cfRule>
  </conditionalFormatting>
  <conditionalFormatting sqref="O21">
    <cfRule type="iconSet" priority="3">
      <iconSet iconSet="4Rating">
        <cfvo type="percent" val="0"/>
        <cfvo type="percent" val="25"/>
        <cfvo type="percent" val="50"/>
        <cfvo type="percent" val="75"/>
      </iconSet>
    </cfRule>
  </conditionalFormatting>
  <conditionalFormatting sqref="P22">
    <cfRule type="iconSet" priority="5">
      <iconSet iconSet="5Rating">
        <cfvo type="percent" val="0"/>
        <cfvo type="percent" val="20"/>
        <cfvo type="percent" val="40"/>
        <cfvo type="percent" val="60"/>
        <cfvo type="percent" val="80"/>
      </iconSet>
    </cfRule>
    <cfRule type="iconSet" priority="6">
      <iconSet iconSet="5Rating">
        <cfvo type="percent" val="0"/>
        <cfvo type="percent" val="20"/>
        <cfvo type="percent" val="40"/>
        <cfvo type="percent" val="60"/>
        <cfvo type="percent" val="80"/>
      </iconSet>
    </cfRule>
    <cfRule type="iconSet" priority="7">
      <iconSet iconSet="4Rating">
        <cfvo type="percent" val="0"/>
        <cfvo type="percent" val="25"/>
        <cfvo type="percent" val="50"/>
        <cfvo type="percent" val="75"/>
      </iconSet>
    </cfRule>
  </conditionalFormatting>
  <conditionalFormatting sqref="Q22">
    <cfRule type="iconSet" priority="9">
      <iconSet iconSet="5Rating">
        <cfvo type="percent" val="0"/>
        <cfvo type="percent" val="20"/>
        <cfvo type="percent" val="40"/>
        <cfvo type="percent" val="60"/>
        <cfvo type="percent" val="80"/>
      </iconSet>
    </cfRule>
  </conditionalFormatting>
  <pageMargins left="0.71" right="0.71" top="0.75000000000000011" bottom="0.75000000000000011" header="0.31" footer="0.31"/>
  <pageSetup scale="61" orientation="landscape" horizontalDpi="200" verticalDpi="200"/>
  <drawing r:id="rId1"/>
  <extLst>
    <ext xmlns:x14="http://schemas.microsoft.com/office/spreadsheetml/2009/9/main" uri="{78C0D931-6437-407d-A8EE-F0AAD7539E65}">
      <x14:conditionalFormattings>
        <x14:conditionalFormatting xmlns:xm="http://schemas.microsoft.com/office/excel/2006/main">
          <x14:cfRule type="iconSet" priority="91" id="{3D0E57EB-09B1-7B4C-9FC5-1B54AB45559A}">
            <x14:iconSet showValue="0" custom="1">
              <x14:cfvo type="percent">
                <xm:f>0</xm:f>
              </x14:cfvo>
              <x14:cfvo type="num" gte="0">
                <xm:f>1</xm:f>
              </x14:cfvo>
              <x14:cfvo type="num">
                <xm:f>2</xm:f>
              </x14:cfvo>
              <x14:cfIcon iconSet="5Rating" iconId="4"/>
              <x14:cfIcon iconSet="5Rating" iconId="2"/>
              <x14:cfIcon iconSet="5Rating" iconId="0"/>
            </x14:iconSet>
          </x14:cfRule>
          <xm:sqref>E4:E8</xm:sqref>
        </x14:conditionalFormatting>
        <x14:conditionalFormatting xmlns:xm="http://schemas.microsoft.com/office/excel/2006/main">
          <x14:cfRule type="iconSet" priority="89" id="{3E4E4A94-9903-A144-80D2-6E0BB439CE85}">
            <x14:iconSet showValue="0" custom="1">
              <x14:cfvo type="percent">
                <xm:f>0</xm:f>
              </x14:cfvo>
              <x14:cfvo type="num" gte="0">
                <xm:f>1</xm:f>
              </x14:cfvo>
              <x14:cfvo type="num">
                <xm:f>2</xm:f>
              </x14:cfvo>
              <x14:cfIcon iconSet="5Rating" iconId="4"/>
              <x14:cfIcon iconSet="5Rating" iconId="2"/>
              <x14:cfIcon iconSet="5Rating" iconId="0"/>
            </x14:iconSet>
          </x14:cfRule>
          <xm:sqref>E11:E14</xm:sqref>
        </x14:conditionalFormatting>
        <x14:conditionalFormatting xmlns:xm="http://schemas.microsoft.com/office/excel/2006/main">
          <x14:cfRule type="iconSet" priority="14" id="{FABC1021-93C6-5D4C-9E40-947134523188}">
            <x14:iconSet showValue="0" custom="1">
              <x14:cfvo type="percent">
                <xm:f>0</xm:f>
              </x14:cfvo>
              <x14:cfvo type="num" gte="0">
                <xm:f>1</xm:f>
              </x14:cfvo>
              <x14:cfvo type="num">
                <xm:f>2</xm:f>
              </x14:cfvo>
              <x14:cfIcon iconSet="5Rating" iconId="4"/>
              <x14:cfIcon iconSet="5Rating" iconId="2"/>
              <x14:cfIcon iconSet="5Rating" iconId="0"/>
            </x14:iconSet>
          </x14:cfRule>
          <xm:sqref>E15</xm:sqref>
        </x14:conditionalFormatting>
        <x14:conditionalFormatting xmlns:xm="http://schemas.microsoft.com/office/excel/2006/main">
          <x14:cfRule type="iconSet" priority="38" id="{01959FD6-4578-524B-9D44-90F994FEE1BF}">
            <x14:iconSet showValue="0" custom="1">
              <x14:cfvo type="percent">
                <xm:f>0</xm:f>
              </x14:cfvo>
              <x14:cfvo type="num" gte="0">
                <xm:f>1</xm:f>
              </x14:cfvo>
              <x14:cfvo type="num">
                <xm:f>2</xm:f>
              </x14:cfvo>
              <x14:cfIcon iconSet="5Rating" iconId="4"/>
              <x14:cfIcon iconSet="5Rating" iconId="2"/>
              <x14:cfIcon iconSet="5Rating" iconId="0"/>
            </x14:iconSet>
          </x14:cfRule>
          <xm:sqref>E18:E22</xm:sqref>
        </x14:conditionalFormatting>
        <x14:conditionalFormatting xmlns:xm="http://schemas.microsoft.com/office/excel/2006/main">
          <x14:cfRule type="iconSet" priority="27" id="{124D68FE-F51B-2648-A496-402F18233295}">
            <x14:iconSet showValue="0" custom="1">
              <x14:cfvo type="percent">
                <xm:f>0</xm:f>
              </x14:cfvo>
              <x14:cfvo type="num" gte="0">
                <xm:f>1</xm:f>
              </x14:cfvo>
              <x14:cfvo type="num">
                <xm:f>2</xm:f>
              </x14:cfvo>
              <x14:cfIcon iconSet="5Rating" iconId="4"/>
              <x14:cfIcon iconSet="5Rating" iconId="2"/>
              <x14:cfIcon iconSet="5Rating" iconId="0"/>
            </x14:iconSet>
          </x14:cfRule>
          <xm:sqref>E25:E29</xm:sqref>
        </x14:conditionalFormatting>
        <x14:conditionalFormatting xmlns:xm="http://schemas.microsoft.com/office/excel/2006/main">
          <x14:cfRule type="iconSet" priority="11" id="{20AA2DCC-FEC9-9246-A341-C4BEC64BF8DF}">
            <x14:iconSet showValue="0" custom="1">
              <x14:cfvo type="percent">
                <xm:f>0</xm:f>
              </x14:cfvo>
              <x14:cfvo type="num" gte="0">
                <xm:f>1</xm:f>
              </x14:cfvo>
              <x14:cfvo type="num">
                <xm:f>2</xm:f>
              </x14:cfvo>
              <x14:cfIcon iconSet="5Rating" iconId="4"/>
              <x14:cfIcon iconSet="5Rating" iconId="2"/>
              <x14:cfIcon iconSet="5Rating" iconId="0"/>
            </x14:iconSet>
          </x14:cfRule>
          <xm:sqref>E30</xm:sqref>
        </x14:conditionalFormatting>
        <x14:conditionalFormatting xmlns:xm="http://schemas.microsoft.com/office/excel/2006/main">
          <x14:cfRule type="iconSet" priority="81" id="{0DC5817C-FB15-B444-8BBE-EB5014B723AD}">
            <x14:iconSet showValue="0" custom="1">
              <x14:cfvo type="percent">
                <xm:f>0</xm:f>
              </x14:cfvo>
              <x14:cfvo type="num" gte="0">
                <xm:f>1</xm:f>
              </x14:cfvo>
              <x14:cfvo type="num">
                <xm:f>2</xm:f>
              </x14:cfvo>
              <x14:cfIcon iconSet="5Rating" iconId="4"/>
              <x14:cfIcon iconSet="5Rating" iconId="2"/>
              <x14:cfIcon iconSet="5Rating" iconId="0"/>
            </x14:iconSet>
          </x14:cfRule>
          <xm:sqref>E33:E36</xm:sqref>
        </x14:conditionalFormatting>
        <x14:conditionalFormatting xmlns:xm="http://schemas.microsoft.com/office/excel/2006/main">
          <x14:cfRule type="iconSet" priority="94" id="{CC8F5A7E-C902-8B4B-A325-ACB76E293EAA}">
            <x14:iconSet showValue="0" custom="1">
              <x14:cfvo type="percent">
                <xm:f>0</xm:f>
              </x14:cfvo>
              <x14:cfvo type="num" gte="0">
                <xm:f>1</xm:f>
              </x14:cfvo>
              <x14:cfvo type="num">
                <xm:f>2</xm:f>
              </x14:cfvo>
              <x14:cfIcon iconSet="3Stars" iconId="2"/>
              <x14:cfIcon iconSet="3Stars" iconId="1"/>
              <x14:cfIcon iconSet="3Stars" iconId="0"/>
            </x14:iconSet>
          </x14:cfRule>
          <xm:sqref>F4:F8</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9"/>
  <sheetViews>
    <sheetView topLeftCell="A4" zoomScale="150" zoomScaleNormal="150" workbookViewId="0">
      <selection activeCell="E15" sqref="E15"/>
    </sheetView>
  </sheetViews>
  <sheetFormatPr defaultColWidth="9" defaultRowHeight="11.25"/>
  <cols>
    <col min="1" max="1" width="15.5" style="32" bestFit="1" customWidth="1"/>
    <col min="2" max="2" width="5.625" style="32" customWidth="1"/>
    <col min="3" max="3" width="0.125" style="32" hidden="1" customWidth="1"/>
    <col min="4" max="4" width="22.375" style="32" bestFit="1" customWidth="1"/>
    <col min="5" max="16384" width="9" style="32"/>
  </cols>
  <sheetData>
    <row r="1" spans="1:6">
      <c r="A1" s="30" t="s">
        <v>124</v>
      </c>
      <c r="B1" s="30"/>
      <c r="C1" s="30" t="s">
        <v>125</v>
      </c>
      <c r="D1" s="30" t="s">
        <v>125</v>
      </c>
      <c r="E1" s="31"/>
      <c r="F1" s="31"/>
    </row>
    <row r="2" spans="1:6">
      <c r="A2" s="33"/>
      <c r="B2" s="33"/>
      <c r="C2" s="33"/>
    </row>
    <row r="3" spans="1:6">
      <c r="A3" s="33" t="s">
        <v>126</v>
      </c>
      <c r="B3" s="33">
        <v>1</v>
      </c>
      <c r="C3" s="33" t="s">
        <v>127</v>
      </c>
      <c r="D3" s="32" t="s">
        <v>128</v>
      </c>
    </row>
    <row r="4" spans="1:6">
      <c r="A4" s="33"/>
      <c r="B4" s="33">
        <v>2</v>
      </c>
      <c r="C4" s="33" t="s">
        <v>129</v>
      </c>
      <c r="D4" s="32" t="s">
        <v>130</v>
      </c>
    </row>
    <row r="5" spans="1:6">
      <c r="A5" s="33" t="s">
        <v>131</v>
      </c>
      <c r="B5" s="33">
        <v>3</v>
      </c>
      <c r="C5" s="33" t="s">
        <v>132</v>
      </c>
      <c r="D5" s="32" t="s">
        <v>133</v>
      </c>
    </row>
    <row r="6" spans="1:6">
      <c r="A6" s="33"/>
      <c r="B6" s="33"/>
      <c r="C6" s="33"/>
    </row>
    <row r="7" spans="1:6">
      <c r="A7" s="33" t="s">
        <v>134</v>
      </c>
      <c r="B7" s="33"/>
      <c r="C7" s="33" t="s">
        <v>135</v>
      </c>
    </row>
    <row r="8" spans="1:6">
      <c r="A8" s="33"/>
      <c r="B8" s="33">
        <v>1</v>
      </c>
      <c r="C8" s="33" t="s">
        <v>127</v>
      </c>
      <c r="D8" s="32" t="s">
        <v>128</v>
      </c>
    </row>
    <row r="9" spans="1:6">
      <c r="A9" s="33"/>
      <c r="B9" s="33">
        <v>2</v>
      </c>
      <c r="C9" s="33" t="s">
        <v>136</v>
      </c>
      <c r="D9" s="32" t="s">
        <v>137</v>
      </c>
    </row>
    <row r="10" spans="1:6">
      <c r="A10" s="33"/>
      <c r="B10" s="33">
        <v>3</v>
      </c>
      <c r="C10" s="33" t="s">
        <v>129</v>
      </c>
      <c r="D10" s="32" t="s">
        <v>130</v>
      </c>
    </row>
    <row r="11" spans="1:6">
      <c r="A11" s="33"/>
      <c r="B11" s="33">
        <v>4</v>
      </c>
      <c r="C11" s="33" t="s">
        <v>132</v>
      </c>
      <c r="D11" s="32" t="s">
        <v>133</v>
      </c>
    </row>
    <row r="12" spans="1:6">
      <c r="A12" s="33"/>
      <c r="B12" s="33"/>
      <c r="C12" s="33"/>
    </row>
    <row r="13" spans="1:6">
      <c r="A13" s="33" t="s">
        <v>138</v>
      </c>
      <c r="B13" s="33">
        <v>1</v>
      </c>
      <c r="C13" s="33" t="s">
        <v>127</v>
      </c>
      <c r="D13" s="118" t="s">
        <v>139</v>
      </c>
    </row>
    <row r="14" spans="1:6">
      <c r="A14" s="33"/>
      <c r="B14" s="33">
        <v>2</v>
      </c>
      <c r="C14" s="33" t="s">
        <v>140</v>
      </c>
      <c r="D14" s="118" t="s">
        <v>141</v>
      </c>
    </row>
    <row r="15" spans="1:6">
      <c r="A15" s="33"/>
      <c r="B15" s="33">
        <v>3</v>
      </c>
      <c r="C15" s="33" t="s">
        <v>142</v>
      </c>
      <c r="D15" s="118" t="s">
        <v>143</v>
      </c>
    </row>
    <row r="16" spans="1:6" ht="13.5" customHeight="1">
      <c r="A16" s="33"/>
      <c r="B16" s="33">
        <v>4</v>
      </c>
      <c r="C16" s="33" t="s">
        <v>144</v>
      </c>
      <c r="D16" s="118" t="s">
        <v>145</v>
      </c>
    </row>
    <row r="17" spans="1:8">
      <c r="A17" s="33"/>
      <c r="B17" s="33">
        <v>5</v>
      </c>
      <c r="C17" s="33" t="s">
        <v>146</v>
      </c>
      <c r="D17" s="118" t="s">
        <v>147</v>
      </c>
    </row>
    <row r="18" spans="1:8">
      <c r="A18" s="33" t="s">
        <v>148</v>
      </c>
      <c r="B18" s="33">
        <v>6</v>
      </c>
      <c r="C18" s="33" t="s">
        <v>132</v>
      </c>
      <c r="D18" s="118" t="s">
        <v>133</v>
      </c>
    </row>
    <row r="19" spans="1:8">
      <c r="A19" s="33"/>
      <c r="B19" s="33"/>
      <c r="C19" s="33"/>
    </row>
    <row r="20" spans="1:8">
      <c r="A20" s="33" t="s">
        <v>149</v>
      </c>
      <c r="B20" s="33">
        <v>1</v>
      </c>
      <c r="C20" s="33" t="s">
        <v>150</v>
      </c>
      <c r="D20" s="32" t="s">
        <v>151</v>
      </c>
    </row>
    <row r="21" spans="1:8">
      <c r="A21" s="33"/>
      <c r="B21" s="33">
        <v>2</v>
      </c>
      <c r="C21" s="33" t="s">
        <v>152</v>
      </c>
      <c r="D21" s="32" t="s">
        <v>141</v>
      </c>
    </row>
    <row r="22" spans="1:8">
      <c r="A22" s="33"/>
      <c r="B22" s="33">
        <v>3</v>
      </c>
      <c r="C22" s="33" t="s">
        <v>153</v>
      </c>
      <c r="D22" s="32" t="s">
        <v>154</v>
      </c>
    </row>
    <row r="23" spans="1:8">
      <c r="A23" s="33"/>
      <c r="B23" s="33">
        <v>4</v>
      </c>
      <c r="C23" s="33" t="s">
        <v>155</v>
      </c>
      <c r="D23" s="32" t="s">
        <v>156</v>
      </c>
    </row>
    <row r="24" spans="1:8">
      <c r="A24" s="33"/>
      <c r="B24" s="33">
        <v>5</v>
      </c>
      <c r="C24" s="33" t="s">
        <v>157</v>
      </c>
      <c r="D24" s="32" t="s">
        <v>147</v>
      </c>
    </row>
    <row r="25" spans="1:8">
      <c r="A25" s="33"/>
      <c r="B25" s="33">
        <v>6</v>
      </c>
      <c r="C25" s="33"/>
      <c r="D25" s="32" t="s">
        <v>133</v>
      </c>
    </row>
    <row r="26" spans="1:8">
      <c r="A26" s="33" t="s">
        <v>158</v>
      </c>
      <c r="B26" s="33">
        <v>1</v>
      </c>
      <c r="C26" s="33" t="s">
        <v>159</v>
      </c>
      <c r="D26" s="32" t="s">
        <v>151</v>
      </c>
    </row>
    <row r="27" spans="1:8">
      <c r="A27" s="33"/>
      <c r="B27" s="33">
        <v>2</v>
      </c>
      <c r="C27" s="33" t="s">
        <v>160</v>
      </c>
      <c r="D27" s="32" t="s">
        <v>161</v>
      </c>
      <c r="H27" s="34"/>
    </row>
    <row r="28" spans="1:8">
      <c r="A28" s="33"/>
      <c r="B28" s="33">
        <v>3</v>
      </c>
      <c r="C28" s="33" t="s">
        <v>162</v>
      </c>
      <c r="D28" s="32" t="s">
        <v>163</v>
      </c>
      <c r="H28" s="34"/>
    </row>
    <row r="29" spans="1:8">
      <c r="A29" s="33"/>
      <c r="B29" s="33">
        <v>4</v>
      </c>
      <c r="C29" s="33" t="s">
        <v>164</v>
      </c>
      <c r="D29" s="32" t="s">
        <v>165</v>
      </c>
      <c r="H29" s="34"/>
    </row>
    <row r="30" spans="1:8">
      <c r="A30" s="33"/>
      <c r="B30" s="33">
        <v>5</v>
      </c>
      <c r="C30" s="33" t="s">
        <v>166</v>
      </c>
      <c r="D30" s="32" t="s">
        <v>167</v>
      </c>
      <c r="H30" s="34"/>
    </row>
    <row r="31" spans="1:8">
      <c r="A31" s="33"/>
      <c r="B31" s="33"/>
      <c r="C31" s="33"/>
    </row>
    <row r="32" spans="1:8">
      <c r="A32" s="33" t="s">
        <v>168</v>
      </c>
      <c r="B32" s="33">
        <v>1</v>
      </c>
      <c r="C32" s="33" t="s">
        <v>169</v>
      </c>
    </row>
    <row r="33" spans="1:4">
      <c r="A33" s="33"/>
      <c r="B33" s="33">
        <v>2</v>
      </c>
      <c r="C33" s="33" t="s">
        <v>170</v>
      </c>
    </row>
    <row r="34" spans="1:4">
      <c r="A34" s="33"/>
      <c r="B34" s="33">
        <v>3</v>
      </c>
      <c r="C34" s="33" t="s">
        <v>171</v>
      </c>
    </row>
    <row r="35" spans="1:4">
      <c r="A35" s="33"/>
      <c r="B35" s="33">
        <v>4</v>
      </c>
      <c r="C35" s="33" t="s">
        <v>172</v>
      </c>
    </row>
    <row r="36" spans="1:4">
      <c r="A36" s="33"/>
      <c r="B36" s="33">
        <v>5</v>
      </c>
      <c r="C36" s="33" t="s">
        <v>173</v>
      </c>
    </row>
    <row r="37" spans="1:4">
      <c r="A37" s="33"/>
      <c r="B37" s="33"/>
      <c r="C37" s="33"/>
    </row>
    <row r="38" spans="1:4">
      <c r="A38" s="33" t="s">
        <v>174</v>
      </c>
      <c r="B38" s="33">
        <v>1</v>
      </c>
      <c r="C38" s="33" t="s">
        <v>175</v>
      </c>
      <c r="D38" s="32" t="s">
        <v>176</v>
      </c>
    </row>
    <row r="39" spans="1:4">
      <c r="A39" s="33"/>
      <c r="B39" s="33">
        <v>2</v>
      </c>
      <c r="C39" s="33" t="s">
        <v>177</v>
      </c>
      <c r="D39" s="32" t="s">
        <v>178</v>
      </c>
    </row>
    <row r="40" spans="1:4">
      <c r="A40" s="33"/>
      <c r="B40" s="33">
        <v>3</v>
      </c>
      <c r="C40" s="33" t="s">
        <v>142</v>
      </c>
      <c r="D40" s="32" t="s">
        <v>179</v>
      </c>
    </row>
    <row r="41" spans="1:4">
      <c r="A41" s="33"/>
      <c r="B41" s="33">
        <v>4</v>
      </c>
      <c r="C41" s="33" t="s">
        <v>144</v>
      </c>
      <c r="D41" s="32" t="s">
        <v>180</v>
      </c>
    </row>
    <row r="42" spans="1:4">
      <c r="A42" s="33"/>
      <c r="B42" s="33">
        <v>5</v>
      </c>
      <c r="C42" s="33" t="s">
        <v>181</v>
      </c>
      <c r="D42" s="32" t="s">
        <v>182</v>
      </c>
    </row>
    <row r="43" spans="1:4">
      <c r="A43" s="33"/>
      <c r="B43" s="33">
        <v>6</v>
      </c>
      <c r="C43" s="33"/>
      <c r="D43" s="32" t="s">
        <v>133</v>
      </c>
    </row>
    <row r="44" spans="1:4">
      <c r="A44" s="33" t="s">
        <v>183</v>
      </c>
      <c r="B44" s="33">
        <v>1</v>
      </c>
      <c r="C44" s="33" t="s">
        <v>127</v>
      </c>
      <c r="D44" s="32" t="s">
        <v>151</v>
      </c>
    </row>
    <row r="45" spans="1:4">
      <c r="A45" s="33"/>
      <c r="B45" s="33">
        <v>2</v>
      </c>
      <c r="C45" s="33" t="s">
        <v>184</v>
      </c>
      <c r="D45" s="32" t="s">
        <v>141</v>
      </c>
    </row>
    <row r="46" spans="1:4">
      <c r="A46" s="33"/>
      <c r="B46" s="33">
        <v>3</v>
      </c>
      <c r="C46" s="33" t="s">
        <v>142</v>
      </c>
      <c r="D46" s="32" t="s">
        <v>163</v>
      </c>
    </row>
    <row r="47" spans="1:4">
      <c r="A47" s="33"/>
      <c r="B47" s="33">
        <v>4</v>
      </c>
      <c r="C47" s="33" t="s">
        <v>144</v>
      </c>
      <c r="D47" s="32" t="s">
        <v>145</v>
      </c>
    </row>
    <row r="48" spans="1:4">
      <c r="A48" s="33"/>
      <c r="B48" s="33">
        <v>5</v>
      </c>
      <c r="C48" s="33" t="s">
        <v>146</v>
      </c>
      <c r="D48" s="32" t="s">
        <v>147</v>
      </c>
    </row>
    <row r="49" spans="1:4">
      <c r="A49" s="33"/>
      <c r="B49" s="33">
        <v>6</v>
      </c>
      <c r="C49" s="33"/>
      <c r="D49" s="32" t="s">
        <v>133</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23"/>
  <sheetViews>
    <sheetView zoomScale="150" zoomScaleNormal="150" workbookViewId="0">
      <pane ySplit="1" topLeftCell="A111" activePane="bottomLeft" state="frozen"/>
      <selection activeCell="I29" sqref="I29"/>
      <selection pane="bottomLeft" activeCell="C113" sqref="C113"/>
    </sheetView>
  </sheetViews>
  <sheetFormatPr defaultColWidth="9" defaultRowHeight="15"/>
  <cols>
    <col min="1" max="1" width="23.875" style="71" customWidth="1"/>
    <col min="2" max="2" width="13" style="79" customWidth="1"/>
    <col min="3" max="3" width="15.5" style="79" customWidth="1"/>
    <col min="4" max="16384" width="9" style="67"/>
  </cols>
  <sheetData>
    <row r="1" spans="1:3" ht="60.75" thickBot="1">
      <c r="A1" s="66" t="s">
        <v>185</v>
      </c>
      <c r="B1" s="85" t="s">
        <v>186</v>
      </c>
      <c r="C1" s="78" t="s">
        <v>208</v>
      </c>
    </row>
    <row r="2" spans="1:3">
      <c r="A2" s="68" t="s">
        <v>1</v>
      </c>
      <c r="B2" s="86"/>
      <c r="C2" s="80" t="str">
        <f>IFERROR(AVERAGE(C3:C11),"NIET")</f>
        <v>NIET</v>
      </c>
    </row>
    <row r="3" spans="1:3">
      <c r="A3" s="69" t="s">
        <v>2</v>
      </c>
      <c r="B3" s="87">
        <v>6</v>
      </c>
      <c r="C3" s="81" t="str">
        <f>IF(B3=6,"",IF(B3="","",B3))</f>
        <v/>
      </c>
    </row>
    <row r="4" spans="1:3">
      <c r="A4" s="69" t="s">
        <v>3</v>
      </c>
      <c r="B4" s="87">
        <v>6</v>
      </c>
      <c r="C4" s="81" t="str">
        <f t="shared" ref="C4:C11" si="0">IF(B4=6,"",IF(B4="","",B4))</f>
        <v/>
      </c>
    </row>
    <row r="5" spans="1:3">
      <c r="A5" s="69" t="s">
        <v>4</v>
      </c>
      <c r="B5" s="87">
        <v>6</v>
      </c>
      <c r="C5" s="81" t="str">
        <f t="shared" si="0"/>
        <v/>
      </c>
    </row>
    <row r="6" spans="1:3">
      <c r="A6" s="69" t="s">
        <v>274</v>
      </c>
      <c r="B6" s="87">
        <v>6</v>
      </c>
      <c r="C6" s="81" t="str">
        <f t="shared" si="0"/>
        <v/>
      </c>
    </row>
    <row r="7" spans="1:3">
      <c r="A7" s="69" t="s">
        <v>5</v>
      </c>
      <c r="B7" s="87">
        <v>6</v>
      </c>
      <c r="C7" s="81" t="str">
        <f t="shared" si="0"/>
        <v/>
      </c>
    </row>
    <row r="8" spans="1:3">
      <c r="A8" s="69" t="s">
        <v>6</v>
      </c>
      <c r="B8" s="87">
        <v>6</v>
      </c>
      <c r="C8" s="81" t="str">
        <f t="shared" si="0"/>
        <v/>
      </c>
    </row>
    <row r="9" spans="1:3">
      <c r="A9" s="69" t="s">
        <v>7</v>
      </c>
      <c r="B9" s="87">
        <v>6</v>
      </c>
      <c r="C9" s="81" t="str">
        <f t="shared" si="0"/>
        <v/>
      </c>
    </row>
    <row r="10" spans="1:3">
      <c r="A10" s="69" t="s">
        <v>8</v>
      </c>
      <c r="B10" s="87">
        <v>6</v>
      </c>
      <c r="C10" s="81" t="str">
        <f t="shared" si="0"/>
        <v/>
      </c>
    </row>
    <row r="11" spans="1:3">
      <c r="A11" s="69" t="s">
        <v>9</v>
      </c>
      <c r="B11" s="87">
        <v>6</v>
      </c>
      <c r="C11" s="81" t="str">
        <f t="shared" si="0"/>
        <v/>
      </c>
    </row>
    <row r="12" spans="1:3" ht="15.75" thickBot="1">
      <c r="A12" s="69"/>
      <c r="B12" s="87"/>
      <c r="C12" s="81"/>
    </row>
    <row r="13" spans="1:3">
      <c r="A13" s="163" t="s">
        <v>193</v>
      </c>
      <c r="B13" s="86"/>
      <c r="C13" s="80" t="str">
        <f>IFERROR(AVERAGE(C14:C17),"NIET")</f>
        <v>NIET</v>
      </c>
    </row>
    <row r="14" spans="1:3">
      <c r="A14" s="69" t="s">
        <v>284</v>
      </c>
      <c r="B14" s="87">
        <v>6</v>
      </c>
      <c r="C14" s="81" t="str">
        <f>IF(B14=6,"",IF(B14="","",B14))</f>
        <v/>
      </c>
    </row>
    <row r="15" spans="1:3">
      <c r="A15" s="69" t="s">
        <v>285</v>
      </c>
      <c r="B15" s="87">
        <v>6</v>
      </c>
      <c r="C15" s="81" t="str">
        <f t="shared" ref="C15:C17" si="1">IF(B15=6,"",IF(B15="","",B15))</f>
        <v/>
      </c>
    </row>
    <row r="16" spans="1:3" ht="15.75" thickBot="1">
      <c r="A16" s="70" t="s">
        <v>286</v>
      </c>
      <c r="B16" s="88">
        <v>6</v>
      </c>
      <c r="C16" s="81" t="str">
        <f t="shared" si="1"/>
        <v/>
      </c>
    </row>
    <row r="17" spans="1:3" ht="15.75" thickBot="1">
      <c r="A17" s="70" t="s">
        <v>287</v>
      </c>
      <c r="B17" s="155">
        <v>6</v>
      </c>
      <c r="C17" s="81" t="str">
        <f t="shared" si="1"/>
        <v/>
      </c>
    </row>
    <row r="18" spans="1:3">
      <c r="A18" s="68" t="s">
        <v>10</v>
      </c>
      <c r="B18" s="89"/>
      <c r="C18" s="80" t="str">
        <f>IFERROR(AVERAGE(C19:C22),"NIET")</f>
        <v>NIET</v>
      </c>
    </row>
    <row r="19" spans="1:3">
      <c r="A19" s="151" t="s">
        <v>12</v>
      </c>
      <c r="B19" s="152">
        <v>6</v>
      </c>
      <c r="C19" s="81" t="str">
        <f t="shared" ref="C19:C71" si="2">IF(B19=6,"",IF(B19="","",B19))</f>
        <v/>
      </c>
    </row>
    <row r="20" spans="1:3">
      <c r="A20" s="73" t="s">
        <v>212</v>
      </c>
      <c r="B20" s="83">
        <v>6</v>
      </c>
      <c r="C20" s="83" t="str">
        <f t="shared" si="2"/>
        <v/>
      </c>
    </row>
    <row r="21" spans="1:3">
      <c r="A21" s="73" t="s">
        <v>276</v>
      </c>
      <c r="B21" s="83">
        <v>6</v>
      </c>
      <c r="C21" s="83" t="str">
        <f t="shared" si="2"/>
        <v/>
      </c>
    </row>
    <row r="22" spans="1:3">
      <c r="A22" s="73" t="s">
        <v>277</v>
      </c>
      <c r="B22" s="83">
        <v>6</v>
      </c>
      <c r="C22" s="83" t="str">
        <f t="shared" si="2"/>
        <v/>
      </c>
    </row>
    <row r="23" spans="1:3">
      <c r="A23" s="73"/>
      <c r="B23" s="83"/>
      <c r="C23" s="83"/>
    </row>
    <row r="24" spans="1:3" ht="15.75" thickBot="1">
      <c r="A24" s="73"/>
      <c r="B24" s="83"/>
      <c r="C24" s="79" t="str">
        <f t="shared" si="2"/>
        <v/>
      </c>
    </row>
    <row r="25" spans="1:3">
      <c r="A25" s="68" t="s">
        <v>206</v>
      </c>
      <c r="B25" s="86"/>
      <c r="C25" s="80" t="str">
        <f>IFERROR(AVERAGE(C26:C29),"NIET")</f>
        <v>NIET</v>
      </c>
    </row>
    <row r="26" spans="1:3">
      <c r="A26" s="69" t="s">
        <v>198</v>
      </c>
      <c r="B26" s="92">
        <v>6</v>
      </c>
      <c r="C26" s="81" t="str">
        <f t="shared" si="2"/>
        <v/>
      </c>
    </row>
    <row r="27" spans="1:3">
      <c r="A27" s="69" t="s">
        <v>202</v>
      </c>
      <c r="B27" s="92">
        <v>6</v>
      </c>
      <c r="C27" s="81" t="str">
        <f t="shared" si="2"/>
        <v/>
      </c>
    </row>
    <row r="28" spans="1:3" ht="15.75" thickBot="1">
      <c r="A28" s="70" t="s">
        <v>203</v>
      </c>
      <c r="B28" s="93">
        <v>6</v>
      </c>
      <c r="C28" s="82" t="str">
        <f t="shared" si="2"/>
        <v/>
      </c>
    </row>
    <row r="29" spans="1:3" ht="15.75" thickBot="1">
      <c r="A29" s="73" t="s">
        <v>280</v>
      </c>
      <c r="B29" s="83">
        <v>6</v>
      </c>
      <c r="C29" s="153" t="str">
        <f t="shared" si="2"/>
        <v/>
      </c>
    </row>
    <row r="30" spans="1:3" ht="15.75" thickBot="1">
      <c r="A30" s="74"/>
      <c r="B30" s="94"/>
      <c r="C30" s="79" t="str">
        <f t="shared" si="2"/>
        <v/>
      </c>
    </row>
    <row r="31" spans="1:3">
      <c r="A31" s="84" t="s">
        <v>11</v>
      </c>
      <c r="B31" s="94"/>
      <c r="C31" s="86" t="str">
        <f>IFERROR(AVERAGE(C32:C35),"NIET")</f>
        <v>NIET</v>
      </c>
    </row>
    <row r="32" spans="1:3">
      <c r="A32" s="69" t="s">
        <v>13</v>
      </c>
      <c r="B32" s="83">
        <v>6</v>
      </c>
      <c r="C32" s="87" t="str">
        <f t="shared" si="2"/>
        <v/>
      </c>
    </row>
    <row r="33" spans="1:3">
      <c r="A33" s="69" t="s">
        <v>281</v>
      </c>
      <c r="B33" s="83">
        <v>6</v>
      </c>
      <c r="C33" s="87" t="str">
        <f t="shared" si="2"/>
        <v/>
      </c>
    </row>
    <row r="34" spans="1:3">
      <c r="A34" s="69" t="s">
        <v>14</v>
      </c>
      <c r="B34" s="83">
        <v>6</v>
      </c>
      <c r="C34" s="87" t="str">
        <f t="shared" si="2"/>
        <v/>
      </c>
    </row>
    <row r="35" spans="1:3" ht="15.75" thickBot="1">
      <c r="A35" s="70" t="s">
        <v>282</v>
      </c>
      <c r="B35" s="155">
        <v>6</v>
      </c>
      <c r="C35" s="88" t="str">
        <f t="shared" si="2"/>
        <v/>
      </c>
    </row>
    <row r="36" spans="1:3">
      <c r="A36" s="154" t="str">
        <f>Tactiek!A3</f>
        <v>Werkgroepen</v>
      </c>
      <c r="B36" s="90"/>
      <c r="C36" s="81" t="str">
        <f>IFERROR(AVERAGE(C37:C40),"NIET")</f>
        <v>NIET</v>
      </c>
    </row>
    <row r="37" spans="1:3">
      <c r="A37" s="75" t="s">
        <v>30</v>
      </c>
      <c r="B37" s="95">
        <v>6</v>
      </c>
      <c r="C37" s="81" t="str">
        <f t="shared" si="2"/>
        <v/>
      </c>
    </row>
    <row r="38" spans="1:3">
      <c r="A38" s="75" t="s">
        <v>31</v>
      </c>
      <c r="B38" s="95">
        <v>6</v>
      </c>
      <c r="C38" s="81" t="str">
        <f t="shared" si="2"/>
        <v/>
      </c>
    </row>
    <row r="39" spans="1:3">
      <c r="A39" s="75" t="s">
        <v>32</v>
      </c>
      <c r="B39" s="95">
        <v>6</v>
      </c>
      <c r="C39" s="81" t="str">
        <f t="shared" si="2"/>
        <v/>
      </c>
    </row>
    <row r="40" spans="1:3">
      <c r="A40" s="75" t="s">
        <v>33</v>
      </c>
      <c r="B40" s="95">
        <v>6</v>
      </c>
      <c r="C40" s="81" t="str">
        <f t="shared" si="2"/>
        <v/>
      </c>
    </row>
    <row r="41" spans="1:3">
      <c r="A41" s="75"/>
      <c r="B41" s="95"/>
      <c r="C41" s="81" t="str">
        <f t="shared" si="2"/>
        <v/>
      </c>
    </row>
    <row r="42" spans="1:3" ht="15.75" thickBot="1">
      <c r="A42" s="72"/>
      <c r="B42" s="91"/>
      <c r="C42" s="82" t="str">
        <f t="shared" si="2"/>
        <v/>
      </c>
    </row>
    <row r="43" spans="1:3" ht="15.75" thickBot="1">
      <c r="C43" s="79" t="str">
        <f t="shared" si="2"/>
        <v/>
      </c>
    </row>
    <row r="44" spans="1:3">
      <c r="A44" s="68" t="str">
        <f>Tactiek!A8</f>
        <v>Adoptie &amp; Erkenning</v>
      </c>
      <c r="B44" s="89"/>
      <c r="C44" s="80" t="str">
        <f>IFERROR(AVERAGE(C45:C49),"NIET")</f>
        <v>NIET</v>
      </c>
    </row>
    <row r="45" spans="1:3">
      <c r="A45" s="75" t="s">
        <v>34</v>
      </c>
      <c r="B45" s="95">
        <v>6</v>
      </c>
      <c r="C45" s="81" t="str">
        <f t="shared" si="2"/>
        <v/>
      </c>
    </row>
    <row r="46" spans="1:3">
      <c r="A46" s="75" t="s">
        <v>35</v>
      </c>
      <c r="B46" s="95">
        <v>6</v>
      </c>
      <c r="C46" s="81" t="str">
        <f t="shared" si="2"/>
        <v/>
      </c>
    </row>
    <row r="47" spans="1:3">
      <c r="A47" s="75" t="s">
        <v>36</v>
      </c>
      <c r="B47" s="95">
        <v>6</v>
      </c>
      <c r="C47" s="81" t="str">
        <f t="shared" si="2"/>
        <v/>
      </c>
    </row>
    <row r="48" spans="1:3">
      <c r="A48" s="75" t="s">
        <v>37</v>
      </c>
      <c r="B48" s="95">
        <v>6</v>
      </c>
      <c r="C48" s="81" t="str">
        <f t="shared" si="2"/>
        <v/>
      </c>
    </row>
    <row r="49" spans="1:3" ht="15.75" thickBot="1">
      <c r="A49" s="72" t="s">
        <v>38</v>
      </c>
      <c r="B49" s="91">
        <v>6</v>
      </c>
      <c r="C49" s="82" t="str">
        <f t="shared" si="2"/>
        <v/>
      </c>
    </row>
    <row r="50" spans="1:3" ht="15.75" thickBot="1">
      <c r="C50" s="79" t="str">
        <f t="shared" si="2"/>
        <v/>
      </c>
    </row>
    <row r="51" spans="1:3">
      <c r="A51" s="68" t="str">
        <f>Tactiek!A14</f>
        <v>Architectuur</v>
      </c>
      <c r="B51" s="89"/>
      <c r="C51" s="80" t="str">
        <f>IFERROR(AVERAGE(C52:C57),"NIET")</f>
        <v>NIET</v>
      </c>
    </row>
    <row r="52" spans="1:3">
      <c r="A52" s="75" t="s">
        <v>42</v>
      </c>
      <c r="B52" s="95">
        <v>6</v>
      </c>
      <c r="C52" s="81" t="str">
        <f t="shared" si="2"/>
        <v/>
      </c>
    </row>
    <row r="53" spans="1:3">
      <c r="A53" s="75" t="s">
        <v>43</v>
      </c>
      <c r="B53" s="95">
        <v>6</v>
      </c>
      <c r="C53" s="81" t="str">
        <f t="shared" si="2"/>
        <v/>
      </c>
    </row>
    <row r="54" spans="1:3">
      <c r="A54" s="75" t="s">
        <v>44</v>
      </c>
      <c r="B54" s="95">
        <v>6</v>
      </c>
      <c r="C54" s="81" t="str">
        <f t="shared" si="2"/>
        <v/>
      </c>
    </row>
    <row r="55" spans="1:3">
      <c r="A55" s="75" t="s">
        <v>45</v>
      </c>
      <c r="B55" s="95">
        <v>6</v>
      </c>
      <c r="C55" s="81" t="str">
        <f t="shared" si="2"/>
        <v/>
      </c>
    </row>
    <row r="56" spans="1:3">
      <c r="A56" s="75" t="s">
        <v>46</v>
      </c>
      <c r="B56" s="95"/>
      <c r="C56" s="81" t="str">
        <f t="shared" si="2"/>
        <v/>
      </c>
    </row>
    <row r="57" spans="1:3" ht="15.75" thickBot="1">
      <c r="A57" s="72"/>
      <c r="B57" s="91"/>
      <c r="C57" s="82" t="str">
        <f t="shared" si="2"/>
        <v/>
      </c>
    </row>
    <row r="58" spans="1:3" ht="15.75" thickBot="1">
      <c r="C58" s="79" t="str">
        <f t="shared" si="2"/>
        <v/>
      </c>
    </row>
    <row r="59" spans="1:3">
      <c r="A59" s="68" t="str">
        <f>Tactiek!A19</f>
        <v>Roadmapping</v>
      </c>
      <c r="B59" s="89"/>
      <c r="C59" s="80" t="str">
        <f>IFERROR(AVERAGE(C60:C62),"NIET")</f>
        <v>NIET</v>
      </c>
    </row>
    <row r="60" spans="1:3">
      <c r="A60" s="75" t="s">
        <v>80</v>
      </c>
      <c r="B60" s="95">
        <v>6</v>
      </c>
      <c r="C60" s="81" t="str">
        <f t="shared" si="2"/>
        <v/>
      </c>
    </row>
    <row r="61" spans="1:3">
      <c r="A61" s="75"/>
      <c r="B61" s="95"/>
      <c r="C61" s="81" t="str">
        <f t="shared" si="2"/>
        <v/>
      </c>
    </row>
    <row r="62" spans="1:3" ht="15.75" thickBot="1">
      <c r="A62" s="72"/>
      <c r="B62" s="91"/>
      <c r="C62" s="82" t="str">
        <f t="shared" si="2"/>
        <v/>
      </c>
    </row>
    <row r="63" spans="1:3" ht="15.75" thickBot="1">
      <c r="A63" s="73"/>
      <c r="B63" s="83"/>
      <c r="C63" s="83"/>
    </row>
    <row r="64" spans="1:3">
      <c r="A64" s="68">
        <f>Tactiek!A21</f>
        <v>0</v>
      </c>
      <c r="B64" s="86"/>
      <c r="C64" s="80" t="str">
        <f>IFERROR(AVERAGE(C65:C68),"NIET")</f>
        <v>NIET</v>
      </c>
    </row>
    <row r="65" spans="1:3">
      <c r="A65" s="69" t="s">
        <v>321</v>
      </c>
      <c r="B65" s="87">
        <v>6</v>
      </c>
      <c r="C65" s="81" t="str">
        <f>IF(B65=6,"",IF(B65="","",B65))</f>
        <v/>
      </c>
    </row>
    <row r="66" spans="1:3">
      <c r="A66" s="69" t="s">
        <v>322</v>
      </c>
      <c r="B66" s="87">
        <v>6</v>
      </c>
      <c r="C66" s="81" t="str">
        <f t="shared" ref="C66:C68" si="3">IF(B66=6,"",IF(B66="","",B66))</f>
        <v/>
      </c>
    </row>
    <row r="67" spans="1:3">
      <c r="A67" s="69" t="s">
        <v>323</v>
      </c>
      <c r="B67" s="87">
        <v>6</v>
      </c>
      <c r="C67" s="81" t="str">
        <f t="shared" si="3"/>
        <v/>
      </c>
    </row>
    <row r="68" spans="1:3">
      <c r="A68" s="69" t="s">
        <v>324</v>
      </c>
      <c r="B68" s="87">
        <v>6</v>
      </c>
      <c r="C68" s="81" t="str">
        <f t="shared" si="3"/>
        <v/>
      </c>
    </row>
    <row r="69" spans="1:3">
      <c r="A69" s="69"/>
      <c r="B69" s="87"/>
      <c r="C69" s="81"/>
    </row>
    <row r="70" spans="1:3" ht="15.75" thickBot="1">
      <c r="A70" s="70"/>
      <c r="B70" s="88"/>
      <c r="C70" s="82"/>
    </row>
    <row r="71" spans="1:3" ht="15.75" thickBot="1">
      <c r="C71" s="79" t="str">
        <f t="shared" si="2"/>
        <v/>
      </c>
    </row>
    <row r="72" spans="1:3">
      <c r="A72" s="68" t="str">
        <f>Operationeel!A4</f>
        <v>Wensen &amp; eisen</v>
      </c>
      <c r="B72" s="89"/>
      <c r="C72" s="80" t="str">
        <f>IFERROR(AVERAGE(C73:C76),"NIET")</f>
        <v>NIET</v>
      </c>
    </row>
    <row r="73" spans="1:3">
      <c r="A73" s="75" t="s">
        <v>53</v>
      </c>
      <c r="B73" s="95">
        <v>6</v>
      </c>
      <c r="C73" s="81" t="str">
        <f t="shared" ref="C73:C132" si="4">IF(B73=6,"",IF(B73="","",B73))</f>
        <v/>
      </c>
    </row>
    <row r="74" spans="1:3">
      <c r="A74" s="75" t="s">
        <v>54</v>
      </c>
      <c r="B74" s="95">
        <v>6</v>
      </c>
      <c r="C74" s="81" t="str">
        <f t="shared" si="4"/>
        <v/>
      </c>
    </row>
    <row r="75" spans="1:3">
      <c r="A75" s="75" t="s">
        <v>55</v>
      </c>
      <c r="B75" s="95">
        <v>6</v>
      </c>
      <c r="C75" s="81" t="str">
        <f t="shared" si="4"/>
        <v/>
      </c>
    </row>
    <row r="76" spans="1:3" ht="15.75" thickBot="1">
      <c r="A76" s="72"/>
      <c r="B76" s="91"/>
      <c r="C76" s="82" t="str">
        <f t="shared" si="4"/>
        <v/>
      </c>
    </row>
    <row r="77" spans="1:3" ht="15.75" thickBot="1">
      <c r="C77" s="79" t="str">
        <f t="shared" si="4"/>
        <v/>
      </c>
    </row>
    <row r="78" spans="1:3">
      <c r="A78" s="68" t="str">
        <f>Operationeel!A8</f>
        <v>Ontwikkeling</v>
      </c>
      <c r="B78" s="96"/>
      <c r="C78" s="80" t="str">
        <f>IFERROR(AVERAGE(C79:C82),"NIET")</f>
        <v>NIET</v>
      </c>
    </row>
    <row r="79" spans="1:3">
      <c r="A79" s="76" t="s">
        <v>56</v>
      </c>
      <c r="B79" s="97">
        <v>6</v>
      </c>
      <c r="C79" s="81" t="str">
        <f t="shared" si="4"/>
        <v/>
      </c>
    </row>
    <row r="80" spans="1:3">
      <c r="A80" s="76" t="s">
        <v>57</v>
      </c>
      <c r="B80" s="97">
        <v>6</v>
      </c>
      <c r="C80" s="81" t="str">
        <f t="shared" si="4"/>
        <v/>
      </c>
    </row>
    <row r="81" spans="1:3">
      <c r="A81" s="76" t="s">
        <v>333</v>
      </c>
      <c r="B81" s="97">
        <v>6</v>
      </c>
      <c r="C81" s="81" t="str">
        <f t="shared" si="4"/>
        <v/>
      </c>
    </row>
    <row r="82" spans="1:3" ht="15.75" thickBot="1">
      <c r="A82" s="77"/>
      <c r="B82" s="98"/>
      <c r="C82" s="82" t="str">
        <f t="shared" si="4"/>
        <v/>
      </c>
    </row>
    <row r="83" spans="1:3" ht="15.75" thickBot="1">
      <c r="C83" s="79" t="str">
        <f t="shared" si="4"/>
        <v/>
      </c>
    </row>
    <row r="84" spans="1:3">
      <c r="A84" s="68" t="str">
        <f>Operationeel!A12</f>
        <v>Uitvoering</v>
      </c>
      <c r="B84" s="89"/>
      <c r="C84" s="80" t="str">
        <f>IFERROR(AVERAGE(C85:C87),"NIET")</f>
        <v>NIET</v>
      </c>
    </row>
    <row r="85" spans="1:3">
      <c r="A85" s="75" t="s">
        <v>58</v>
      </c>
      <c r="B85" s="95">
        <v>6</v>
      </c>
      <c r="C85" s="81" t="str">
        <f t="shared" si="4"/>
        <v/>
      </c>
    </row>
    <row r="86" spans="1:3">
      <c r="A86" s="75" t="s">
        <v>59</v>
      </c>
      <c r="B86" s="95"/>
      <c r="C86" s="81" t="str">
        <f t="shared" si="4"/>
        <v/>
      </c>
    </row>
    <row r="87" spans="1:3" ht="15.75" thickBot="1">
      <c r="A87" s="72"/>
      <c r="B87" s="91"/>
      <c r="C87" s="82" t="str">
        <f t="shared" si="4"/>
        <v/>
      </c>
    </row>
    <row r="88" spans="1:3" ht="15.75" thickBot="1">
      <c r="C88" s="79" t="str">
        <f t="shared" si="4"/>
        <v/>
      </c>
    </row>
    <row r="89" spans="1:3">
      <c r="A89" s="84" t="str">
        <f>Operationeel!A14</f>
        <v>Documentatie</v>
      </c>
      <c r="B89" s="86"/>
      <c r="C89" s="80" t="str">
        <f>IFERROR(AVERAGE(C90:C94),"NIET")</f>
        <v>NIET</v>
      </c>
    </row>
    <row r="90" spans="1:3">
      <c r="A90" s="69" t="s">
        <v>60</v>
      </c>
      <c r="B90" s="87">
        <v>6</v>
      </c>
      <c r="C90" s="81" t="str">
        <f t="shared" si="4"/>
        <v/>
      </c>
    </row>
    <row r="91" spans="1:3">
      <c r="A91" s="69" t="s">
        <v>61</v>
      </c>
      <c r="B91" s="87">
        <v>6</v>
      </c>
      <c r="C91" s="81" t="str">
        <f t="shared" si="4"/>
        <v/>
      </c>
    </row>
    <row r="92" spans="1:3">
      <c r="A92" s="69" t="s">
        <v>62</v>
      </c>
      <c r="B92" s="87">
        <v>6</v>
      </c>
      <c r="C92" s="81" t="str">
        <f t="shared" si="4"/>
        <v/>
      </c>
    </row>
    <row r="93" spans="1:3">
      <c r="A93" s="69" t="s">
        <v>117</v>
      </c>
      <c r="B93" s="87">
        <v>6</v>
      </c>
      <c r="C93" s="81" t="str">
        <f t="shared" si="4"/>
        <v/>
      </c>
    </row>
    <row r="94" spans="1:3" ht="15.75" thickBot="1">
      <c r="A94" s="70"/>
      <c r="B94" s="88">
        <v>6</v>
      </c>
      <c r="C94" s="82" t="str">
        <f t="shared" si="4"/>
        <v/>
      </c>
    </row>
    <row r="95" spans="1:3" ht="15.75" thickBot="1">
      <c r="C95" s="79" t="str">
        <f t="shared" si="4"/>
        <v/>
      </c>
    </row>
    <row r="96" spans="1:3">
      <c r="A96" s="68" t="str">
        <f>'Implementatie Ondersteuning'!A3:B3</f>
        <v>Opleiding</v>
      </c>
      <c r="B96" s="86"/>
      <c r="C96" s="80" t="str">
        <f>IFERROR(AVERAGE(C97:C101),"NIET")</f>
        <v>NIET</v>
      </c>
    </row>
    <row r="97" spans="1:3">
      <c r="A97" s="69" t="s">
        <v>22</v>
      </c>
      <c r="B97" s="87">
        <v>6</v>
      </c>
      <c r="C97" s="81" t="str">
        <f t="shared" si="4"/>
        <v/>
      </c>
    </row>
    <row r="98" spans="1:3">
      <c r="A98" s="69"/>
      <c r="B98" s="87"/>
      <c r="C98" s="81" t="str">
        <f t="shared" si="4"/>
        <v/>
      </c>
    </row>
    <row r="99" spans="1:3">
      <c r="A99" s="69"/>
      <c r="B99" s="87"/>
      <c r="C99" s="81" t="str">
        <f t="shared" si="4"/>
        <v/>
      </c>
    </row>
    <row r="100" spans="1:3">
      <c r="A100" s="69"/>
      <c r="B100" s="87"/>
      <c r="C100" s="81" t="str">
        <f t="shared" si="4"/>
        <v/>
      </c>
    </row>
    <row r="101" spans="1:3" ht="15.75" thickBot="1">
      <c r="A101" s="70"/>
      <c r="B101" s="88"/>
      <c r="C101" s="82" t="str">
        <f t="shared" si="4"/>
        <v/>
      </c>
    </row>
    <row r="102" spans="1:3">
      <c r="C102" s="79" t="str">
        <f t="shared" si="4"/>
        <v/>
      </c>
    </row>
    <row r="103" spans="1:3">
      <c r="C103" s="79" t="str">
        <f t="shared" si="4"/>
        <v/>
      </c>
    </row>
    <row r="104" spans="1:3" ht="15.75" thickBot="1">
      <c r="C104" s="79" t="str">
        <f t="shared" si="4"/>
        <v/>
      </c>
    </row>
    <row r="105" spans="1:3">
      <c r="A105" s="68" t="str">
        <f>'Implementatie Ondersteuning'!A5:B5</f>
        <v>Helpdesk</v>
      </c>
      <c r="B105" s="86"/>
      <c r="C105" s="80" t="str">
        <f>IFERROR(AVERAGE(C106:C111),"NIET")</f>
        <v>NIET</v>
      </c>
    </row>
    <row r="106" spans="1:3">
      <c r="A106" s="69" t="s">
        <v>23</v>
      </c>
      <c r="B106" s="87">
        <v>6</v>
      </c>
      <c r="C106" s="81" t="str">
        <f t="shared" si="4"/>
        <v/>
      </c>
    </row>
    <row r="107" spans="1:3">
      <c r="A107" s="69" t="s">
        <v>24</v>
      </c>
      <c r="B107" s="87">
        <v>6</v>
      </c>
      <c r="C107" s="81" t="str">
        <f t="shared" si="4"/>
        <v/>
      </c>
    </row>
    <row r="108" spans="1:3">
      <c r="A108" s="69" t="s">
        <v>25</v>
      </c>
      <c r="B108" s="87">
        <v>6</v>
      </c>
      <c r="C108" s="81" t="str">
        <f t="shared" si="4"/>
        <v/>
      </c>
    </row>
    <row r="109" spans="1:3">
      <c r="A109" s="69"/>
      <c r="B109" s="87"/>
      <c r="C109" s="81" t="str">
        <f t="shared" si="4"/>
        <v/>
      </c>
    </row>
    <row r="110" spans="1:3">
      <c r="A110" s="69"/>
      <c r="B110" s="87"/>
      <c r="C110" s="81" t="str">
        <f t="shared" si="4"/>
        <v/>
      </c>
    </row>
    <row r="111" spans="1:3" ht="15.75" thickBot="1">
      <c r="A111" s="70"/>
      <c r="B111" s="88"/>
      <c r="C111" s="82" t="str">
        <f t="shared" si="4"/>
        <v/>
      </c>
    </row>
    <row r="112" spans="1:3" ht="15.75" thickBot="1">
      <c r="C112" s="79" t="str">
        <f t="shared" si="4"/>
        <v/>
      </c>
    </row>
    <row r="113" spans="1:3">
      <c r="A113" s="68" t="str">
        <f>'Implementatie Ondersteuning'!A9:B9</f>
        <v>Module Ontwikkeling</v>
      </c>
      <c r="B113" s="86"/>
      <c r="C113" s="80" t="str">
        <f>IFERROR(AVERAGE(C114:C118),"NIET")</f>
        <v>NIET</v>
      </c>
    </row>
    <row r="114" spans="1:3">
      <c r="A114" s="69" t="s">
        <v>39</v>
      </c>
      <c r="B114" s="87">
        <v>6</v>
      </c>
      <c r="C114" s="81" t="str">
        <f t="shared" si="4"/>
        <v/>
      </c>
    </row>
    <row r="115" spans="1:3">
      <c r="A115" s="69" t="s">
        <v>40</v>
      </c>
      <c r="B115" s="87">
        <v>6</v>
      </c>
      <c r="C115" s="81" t="str">
        <f t="shared" si="4"/>
        <v/>
      </c>
    </row>
    <row r="116" spans="1:3">
      <c r="A116" s="69"/>
      <c r="B116" s="87"/>
      <c r="C116" s="81" t="str">
        <f t="shared" si="4"/>
        <v/>
      </c>
    </row>
    <row r="117" spans="1:3">
      <c r="A117" s="69"/>
      <c r="B117" s="87"/>
      <c r="C117" s="81" t="str">
        <f t="shared" si="4"/>
        <v/>
      </c>
    </row>
    <row r="118" spans="1:3" ht="15.75" thickBot="1">
      <c r="A118" s="70"/>
      <c r="B118" s="88"/>
      <c r="C118" s="82" t="str">
        <f t="shared" si="4"/>
        <v/>
      </c>
    </row>
    <row r="119" spans="1:3" ht="15.75" thickBot="1">
      <c r="C119" s="79" t="str">
        <f t="shared" si="4"/>
        <v/>
      </c>
    </row>
    <row r="120" spans="1:3">
      <c r="A120" s="68" t="str">
        <f>'Implementatie Ondersteuning'!A12:B12</f>
        <v>Pilot/vernieuwing</v>
      </c>
      <c r="B120" s="86"/>
      <c r="C120" s="80" t="str">
        <f>IFERROR(AVERAGE(C121:C124),"NIET")</f>
        <v>NIET</v>
      </c>
    </row>
    <row r="121" spans="1:3">
      <c r="A121" s="69" t="s">
        <v>19</v>
      </c>
      <c r="B121" s="87">
        <v>6</v>
      </c>
      <c r="C121" s="81" t="str">
        <f t="shared" si="4"/>
        <v/>
      </c>
    </row>
    <row r="122" spans="1:3">
      <c r="A122" s="69" t="s">
        <v>20</v>
      </c>
      <c r="B122" s="87">
        <v>6</v>
      </c>
      <c r="C122" s="81" t="str">
        <f t="shared" si="4"/>
        <v/>
      </c>
    </row>
    <row r="123" spans="1:3">
      <c r="A123" s="69"/>
      <c r="B123" s="87"/>
      <c r="C123" s="81" t="str">
        <f t="shared" si="4"/>
        <v/>
      </c>
    </row>
    <row r="124" spans="1:3" ht="15.75" thickBot="1">
      <c r="A124" s="70"/>
      <c r="B124" s="88"/>
      <c r="C124" s="82" t="str">
        <f t="shared" si="4"/>
        <v/>
      </c>
    </row>
    <row r="125" spans="1:3" ht="15.75" thickBot="1">
      <c r="C125" s="79" t="str">
        <f t="shared" si="4"/>
        <v/>
      </c>
    </row>
    <row r="126" spans="1:3">
      <c r="A126" s="68" t="str">
        <f>'Implementatie Ondersteuning'!A15:B15</f>
        <v>Validatie &amp; Certificatie</v>
      </c>
      <c r="B126" s="86"/>
      <c r="C126" s="80" t="str">
        <f>IFERROR(AVERAGE(C127:C139),"NIET")</f>
        <v>NIET</v>
      </c>
    </row>
    <row r="127" spans="1:3">
      <c r="A127" s="69" t="s">
        <v>26</v>
      </c>
      <c r="B127" s="87">
        <v>6</v>
      </c>
      <c r="C127" s="81" t="str">
        <f t="shared" si="4"/>
        <v/>
      </c>
    </row>
    <row r="128" spans="1:3">
      <c r="A128" s="69" t="s">
        <v>27</v>
      </c>
      <c r="B128" s="87">
        <v>6</v>
      </c>
      <c r="C128" s="81" t="str">
        <f t="shared" si="4"/>
        <v/>
      </c>
    </row>
    <row r="129" spans="1:3">
      <c r="A129" s="69" t="s">
        <v>310</v>
      </c>
      <c r="B129" s="87">
        <v>6</v>
      </c>
      <c r="C129" s="81" t="str">
        <f t="shared" si="4"/>
        <v/>
      </c>
    </row>
    <row r="130" spans="1:3">
      <c r="A130" s="69"/>
      <c r="B130" s="87"/>
      <c r="C130" s="81" t="str">
        <f t="shared" si="4"/>
        <v/>
      </c>
    </row>
    <row r="131" spans="1:3">
      <c r="A131" s="69"/>
      <c r="B131" s="87"/>
      <c r="C131" s="81" t="str">
        <f t="shared" si="4"/>
        <v/>
      </c>
    </row>
    <row r="132" spans="1:3">
      <c r="A132" s="69"/>
      <c r="B132" s="87"/>
      <c r="C132" s="81" t="str">
        <f t="shared" si="4"/>
        <v/>
      </c>
    </row>
    <row r="133" spans="1:3">
      <c r="A133" s="69"/>
      <c r="B133" s="87"/>
      <c r="C133" s="81" t="str">
        <f t="shared" ref="C133:C155" si="5">IF(B133=6,"",IF(B133="","",B133))</f>
        <v/>
      </c>
    </row>
    <row r="134" spans="1:3" ht="15.75" thickBot="1">
      <c r="A134" s="70"/>
      <c r="B134" s="88"/>
      <c r="C134" s="82" t="str">
        <f t="shared" si="5"/>
        <v/>
      </c>
    </row>
    <row r="135" spans="1:3">
      <c r="C135" s="79" t="str">
        <f t="shared" si="5"/>
        <v/>
      </c>
    </row>
    <row r="136" spans="1:3" ht="15.75" thickBot="1">
      <c r="C136" s="79" t="str">
        <f t="shared" si="5"/>
        <v/>
      </c>
    </row>
    <row r="137" spans="1:3">
      <c r="A137" s="68" t="str">
        <f>Communicatie!A2</f>
        <v>Promotie</v>
      </c>
      <c r="B137" s="86"/>
      <c r="C137" s="80" t="str">
        <f>IFERROR(AVERAGE(C138:C141),"NIET")</f>
        <v>NIET</v>
      </c>
    </row>
    <row r="138" spans="1:3">
      <c r="A138" s="69" t="s">
        <v>67</v>
      </c>
      <c r="B138" s="87">
        <v>6</v>
      </c>
      <c r="C138" s="81" t="str">
        <f t="shared" si="5"/>
        <v/>
      </c>
    </row>
    <row r="139" spans="1:3">
      <c r="A139" s="69" t="s">
        <v>68</v>
      </c>
      <c r="B139" s="87">
        <v>6</v>
      </c>
      <c r="C139" s="81" t="str">
        <f t="shared" si="5"/>
        <v/>
      </c>
    </row>
    <row r="140" spans="1:3">
      <c r="A140" s="69" t="s">
        <v>302</v>
      </c>
      <c r="B140" s="87">
        <v>6</v>
      </c>
      <c r="C140" s="81" t="str">
        <f t="shared" si="5"/>
        <v/>
      </c>
    </row>
    <row r="141" spans="1:3" ht="15.75" thickBot="1">
      <c r="A141" s="70" t="s">
        <v>303</v>
      </c>
      <c r="B141" s="88">
        <v>6</v>
      </c>
      <c r="C141" s="82" t="str">
        <f t="shared" si="5"/>
        <v/>
      </c>
    </row>
    <row r="142" spans="1:3" ht="15.75" thickBot="1">
      <c r="C142" s="79" t="str">
        <f t="shared" si="5"/>
        <v/>
      </c>
    </row>
    <row r="143" spans="1:3">
      <c r="A143" s="84" t="str">
        <f>Communicatie!A7</f>
        <v>Publicatie</v>
      </c>
      <c r="B143" s="94"/>
      <c r="C143" s="86" t="str">
        <f>IFERROR(AVERAGE(C144:C147),"NIET")</f>
        <v>NIET</v>
      </c>
    </row>
    <row r="144" spans="1:3">
      <c r="A144" s="69" t="s">
        <v>69</v>
      </c>
      <c r="B144" s="83">
        <v>6</v>
      </c>
      <c r="C144" s="87" t="str">
        <f t="shared" si="5"/>
        <v/>
      </c>
    </row>
    <row r="145" spans="1:3">
      <c r="A145" s="69" t="s">
        <v>70</v>
      </c>
      <c r="B145" s="83">
        <v>6</v>
      </c>
      <c r="C145" s="87" t="str">
        <f t="shared" si="5"/>
        <v/>
      </c>
    </row>
    <row r="146" spans="1:3">
      <c r="A146" s="69" t="s">
        <v>291</v>
      </c>
      <c r="B146" s="83">
        <v>6</v>
      </c>
      <c r="C146" s="87" t="str">
        <f t="shared" si="5"/>
        <v/>
      </c>
    </row>
    <row r="147" spans="1:3" ht="15.75" thickBot="1">
      <c r="A147" s="70" t="s">
        <v>298</v>
      </c>
      <c r="B147" s="155">
        <v>6</v>
      </c>
      <c r="C147" s="88" t="str">
        <f t="shared" si="5"/>
        <v/>
      </c>
    </row>
    <row r="148" spans="1:3">
      <c r="A148" s="154" t="str">
        <f>Communicatie!A12</f>
        <v>Klachtenafhandeling</v>
      </c>
      <c r="B148" s="87"/>
      <c r="C148" s="81" t="str">
        <f>IFERROR(AVERAGE(C149:C152),"NIET")</f>
        <v>NIET</v>
      </c>
    </row>
    <row r="149" spans="1:3">
      <c r="A149" s="69" t="s">
        <v>71</v>
      </c>
      <c r="B149" s="87">
        <v>6</v>
      </c>
      <c r="C149" s="81" t="str">
        <f t="shared" si="5"/>
        <v/>
      </c>
    </row>
    <row r="150" spans="1:3">
      <c r="A150" s="69" t="s">
        <v>304</v>
      </c>
      <c r="B150" s="87">
        <v>6</v>
      </c>
      <c r="C150" s="81" t="str">
        <f t="shared" si="5"/>
        <v/>
      </c>
    </row>
    <row r="151" spans="1:3">
      <c r="A151" s="69" t="s">
        <v>305</v>
      </c>
      <c r="B151" s="87">
        <v>6</v>
      </c>
      <c r="C151" s="81" t="str">
        <f t="shared" si="5"/>
        <v/>
      </c>
    </row>
    <row r="152" spans="1:3" ht="15.75" thickBot="1">
      <c r="A152" s="70"/>
      <c r="B152" s="88"/>
      <c r="C152" s="82" t="str">
        <f t="shared" si="5"/>
        <v/>
      </c>
    </row>
    <row r="153" spans="1:3">
      <c r="C153" s="79" t="str">
        <f t="shared" si="5"/>
        <v/>
      </c>
    </row>
    <row r="154" spans="1:3">
      <c r="C154" s="79" t="str">
        <f t="shared" si="5"/>
        <v/>
      </c>
    </row>
    <row r="155" spans="1:3">
      <c r="C155" s="79" t="str">
        <f t="shared" si="5"/>
        <v/>
      </c>
    </row>
    <row r="223" spans="2:2">
      <c r="B223" s="79">
        <v>3</v>
      </c>
    </row>
  </sheetData>
  <phoneticPr fontId="4"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Werkbladen</vt:lpstr>
      </vt:variant>
      <vt:variant>
        <vt:i4>10</vt:i4>
      </vt:variant>
      <vt:variant>
        <vt:lpstr>Benoemde bereiken</vt:lpstr>
      </vt:variant>
      <vt:variant>
        <vt:i4>1</vt:i4>
      </vt:variant>
    </vt:vector>
  </HeadingPairs>
  <TitlesOfParts>
    <vt:vector size="11" baseType="lpstr">
      <vt:lpstr>Toelichting</vt:lpstr>
      <vt:lpstr>Strategie</vt:lpstr>
      <vt:lpstr>Tactiek</vt:lpstr>
      <vt:lpstr>Operationeel</vt:lpstr>
      <vt:lpstr>Implementatie Ondersteuning</vt:lpstr>
      <vt:lpstr>Communicatie</vt:lpstr>
      <vt:lpstr>Open</vt:lpstr>
      <vt:lpstr>Resultaten</vt:lpstr>
      <vt:lpstr>_invoervelden</vt:lpstr>
      <vt:lpstr>_output</vt:lpstr>
      <vt:lpstr>Resultaten!Afdrukbereik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Ruud Böhmer</dc:creator>
  <cp:lastModifiedBy>Boer, Sander</cp:lastModifiedBy>
  <dcterms:created xsi:type="dcterms:W3CDTF">2020-02-20T14:07:09Z</dcterms:created>
  <dcterms:modified xsi:type="dcterms:W3CDTF">2026-09-11T07:27:25Z</dcterms:modified>
</cp:coreProperties>
</file>